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Extraer_Datos_Milagros\CotizadorFMI\plantilla\"/>
    </mc:Choice>
  </mc:AlternateContent>
  <xr:revisionPtr revIDLastSave="0" documentId="8_{2C2E0F56-F051-4BA0-BF04-C21C46BCA425}" xr6:coauthVersionLast="47" xr6:coauthVersionMax="47" xr10:uidLastSave="{00000000-0000-0000-0000-000000000000}"/>
  <bookViews>
    <workbookView xWindow="-120" yWindow="-120" windowWidth="38640" windowHeight="21120" tabRatio="818" xr2:uid="{00000000-000D-0000-FFFF-FFFF00000000}"/>
  </bookViews>
  <sheets>
    <sheet name="COTIZACION" sheetId="5" r:id="rId1"/>
  </sheets>
  <definedNames>
    <definedName name="Print_Area" localSheetId="0">COTIZACION!$A$1:$M$36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" i="5" l="1"/>
  <c r="W19" i="5"/>
  <c r="K16" i="5"/>
  <c r="P16" i="5"/>
  <c r="P15" i="5" l="1"/>
  <c r="AA18" i="5" l="1"/>
  <c r="W15" i="5"/>
  <c r="K15" i="5"/>
  <c r="L15" i="5" l="1"/>
  <c r="M15" i="5"/>
  <c r="A16" i="5"/>
  <c r="M16" i="5"/>
  <c r="L16" i="5" l="1"/>
  <c r="M17" i="5" l="1"/>
  <c r="B14" i="5"/>
  <c r="Q14" i="5"/>
  <c r="G26" i="5"/>
  <c r="B22" i="5"/>
  <c r="B23" i="5" s="1"/>
  <c r="G21" i="5"/>
  <c r="D4" i="5"/>
  <c r="Z17" i="5" l="1"/>
  <c r="X15" i="5"/>
  <c r="B24" i="5"/>
  <c r="G23" i="5"/>
  <c r="B25" i="5" l="1"/>
  <c r="G25" i="5" s="1"/>
  <c r="G24" i="5"/>
  <c r="M18" i="5" l="1"/>
  <c r="M19" i="5" s="1"/>
  <c r="R14" i="5"/>
  <c r="S14" i="5" s="1"/>
  <c r="T14" i="5" s="1"/>
</calcChain>
</file>

<file path=xl/sharedStrings.xml><?xml version="1.0" encoding="utf-8"?>
<sst xmlns="http://schemas.openxmlformats.org/spreadsheetml/2006/main" count="56" uniqueCount="54">
  <si>
    <t>Fecha:</t>
  </si>
  <si>
    <t>ITEM</t>
  </si>
  <si>
    <t>D ES C R I P C I O N</t>
  </si>
  <si>
    <t>U.M.</t>
  </si>
  <si>
    <t>Referencia</t>
  </si>
  <si>
    <t>N° Ticket / Solicitud</t>
  </si>
  <si>
    <t>IGV</t>
  </si>
  <si>
    <t>PRECIO CON IGV</t>
  </si>
  <si>
    <t>COTIZACION DE SERVICIOS</t>
  </si>
  <si>
    <t>Notas:</t>
  </si>
  <si>
    <t>Condiciones Comerciales:</t>
  </si>
  <si>
    <t>Validez de la Propuesta Económica:</t>
  </si>
  <si>
    <t>Forma de pago:</t>
  </si>
  <si>
    <t>Factura a 30 dias</t>
  </si>
  <si>
    <t>PRECIO SUB TOTAL</t>
  </si>
  <si>
    <t>Asunto :</t>
  </si>
  <si>
    <t>Plazo de Ejecución y programación:</t>
  </si>
  <si>
    <t>Tiempo de ejecución</t>
  </si>
  <si>
    <t>Lugar de Entrega</t>
  </si>
  <si>
    <t>Cualquier equipo o servicio que sea requerido por el cliente y que no se indique en el presente presupuesto será materia de un presupuesto adicional.</t>
  </si>
  <si>
    <t xml:space="preserve">COSTO DIRECTO </t>
  </si>
  <si>
    <t>CANT.</t>
  </si>
  <si>
    <t>PAN-FO-FM-02</t>
  </si>
  <si>
    <t>02</t>
  </si>
  <si>
    <t>1 de 1</t>
  </si>
  <si>
    <t>Presupuesto Economico N°</t>
  </si>
  <si>
    <t>Según Coordinaciones</t>
  </si>
  <si>
    <t>Según Requerimiento</t>
  </si>
  <si>
    <t xml:space="preserve">Costo proveedor </t>
  </si>
  <si>
    <t xml:space="preserve">Ganancia </t>
  </si>
  <si>
    <t xml:space="preserve">Precio Parcial </t>
  </si>
  <si>
    <t xml:space="preserve">Costo cliente </t>
  </si>
  <si>
    <t xml:space="preserve">Margen bruto </t>
  </si>
  <si>
    <t xml:space="preserve">Cliente: </t>
  </si>
  <si>
    <t xml:space="preserve">Contacto: </t>
  </si>
  <si>
    <t>UND</t>
  </si>
  <si>
    <t xml:space="preserve">PRECIO </t>
  </si>
  <si>
    <t>Jefe de Serv. Gener. - Chorrillos</t>
  </si>
  <si>
    <t>Carlos Miguel Toledo Santa Cruz</t>
  </si>
  <si>
    <t>15 Días calendario a partir de la fecha de entrega de la propuesta económica.</t>
  </si>
  <si>
    <t>Orden a :</t>
  </si>
  <si>
    <t>PANORAMA OUTSOURCING S.A.</t>
  </si>
  <si>
    <t>EMPRESA</t>
  </si>
  <si>
    <t xml:space="preserve">MONTO </t>
  </si>
  <si>
    <t>SOLPED</t>
  </si>
  <si>
    <t>LUMINIKA</t>
  </si>
  <si>
    <t>REISA</t>
  </si>
  <si>
    <t>SOLICITE CREACION DE CODIGO</t>
  </si>
  <si>
    <t>GLB</t>
  </si>
  <si>
    <t>Desmontaje de puerta batiente, retiro de freno existente, retiro de base de rotación, instalación de freno King Long, cambio de base, instalación de puerta, nivelación y regulación de freno.</t>
  </si>
  <si>
    <t>UP GRADE S.A.C</t>
  </si>
  <si>
    <t>FMI - 0245-26</t>
  </si>
  <si>
    <t>SERVICIO DE SUMINISTRO E INSTALACION DE  FRENO  DE PUERTA DE LA OFICINA IA BARRIO PISO 6 FAISANES</t>
  </si>
  <si>
    <t>SCTR, EPPS y traslado de herramientas.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</si>
</sst>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S/&quot;\ * #,##0.00_-;\-&quot;S/&quot;\ * #,##0.00_-;_-&quot;S/&quot;\ * &quot;-&quot;??_-;_-@_-"/>
    <numFmt numFmtId="164" formatCode="_-&quot;S/&quot;* #,##0.00_-;\-&quot;S/&quot;* #,##0.00_-;_-&quot;S/&quot;* &quot;-&quot;??_-;_-@_-"/>
    <numFmt numFmtId="165" formatCode="_ &quot;S/.&quot;\ * #,##0.00_ ;_ &quot;S/.&quot;\ * \-#,##0.00_ ;_ &quot;S/.&quot;\ * &quot;-&quot;??_ ;_ @_ "/>
    <numFmt numFmtId="166" formatCode="_-[$S/.-280A]* #,##0.00_-;\-[$S/.-280A]* #,##0.00_-;_-[$S/.-280A]* &quot;-&quot;??_-;_-@_-"/>
    <numFmt numFmtId="167" formatCode="00.00"/>
    <numFmt numFmtId="168" formatCode="[$-F800]dddd\,\ mmmm\ dd\,\ yyyy"/>
    <numFmt numFmtId="169" formatCode="&quot;S/&quot;\ #,##0.00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10"/>
      <name val="Tahoma"/>
      <family val="2"/>
    </font>
    <font>
      <b/>
      <sz val="14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u/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theme="3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b/>
      <sz val="8"/>
      <color rgb="FF0070C0"/>
      <name val="Arial"/>
      <family val="2"/>
    </font>
    <font>
      <b/>
      <sz val="12"/>
      <color rgb="FF000080"/>
      <name val="Arial"/>
      <family val="2"/>
    </font>
    <font>
      <sz val="8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8" fillId="0" borderId="0"/>
    <xf numFmtId="0" fontId="9" fillId="0" borderId="0"/>
    <xf numFmtId="0" fontId="18" fillId="0" borderId="0"/>
    <xf numFmtId="0" fontId="4" fillId="0" borderId="0"/>
    <xf numFmtId="0" fontId="4" fillId="0" borderId="0"/>
    <xf numFmtId="0" fontId="8" fillId="0" borderId="0"/>
    <xf numFmtId="0" fontId="2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9" fontId="19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5" fillId="0" borderId="0" xfId="0" applyFont="1"/>
    <xf numFmtId="0" fontId="9" fillId="0" borderId="0" xfId="2"/>
    <xf numFmtId="0" fontId="6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right" wrapText="1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7" fontId="10" fillId="0" borderId="0" xfId="0" applyNumberFormat="1" applyFont="1" applyAlignment="1">
      <alignment horizontal="center"/>
    </xf>
    <xf numFmtId="0" fontId="4" fillId="0" borderId="0" xfId="0" applyFont="1"/>
    <xf numFmtId="0" fontId="7" fillId="0" borderId="0" xfId="0" applyFont="1" applyAlignment="1">
      <alignment vertical="center" wrapText="1"/>
    </xf>
    <xf numFmtId="166" fontId="0" fillId="0" borderId="0" xfId="0" applyNumberFormat="1"/>
    <xf numFmtId="0" fontId="3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7" fontId="10" fillId="0" borderId="0" xfId="5" applyNumberFormat="1" applyFont="1"/>
    <xf numFmtId="167" fontId="17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4" fillId="0" borderId="2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164" fontId="4" fillId="0" borderId="0" xfId="0" applyNumberFormat="1" applyFont="1"/>
    <xf numFmtId="164" fontId="3" fillId="0" borderId="0" xfId="0" applyNumberFormat="1" applyFont="1"/>
    <xf numFmtId="164" fontId="0" fillId="0" borderId="0" xfId="0" applyNumberFormat="1"/>
    <xf numFmtId="0" fontId="3" fillId="0" borderId="1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66" fontId="3" fillId="0" borderId="14" xfId="0" applyNumberFormat="1" applyFont="1" applyBorder="1" applyAlignment="1">
      <alignment horizontal="center"/>
    </xf>
    <xf numFmtId="166" fontId="3" fillId="0" borderId="3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  <xf numFmtId="9" fontId="3" fillId="0" borderId="12" xfId="12" applyFont="1" applyBorder="1" applyAlignment="1">
      <alignment horizontal="center"/>
    </xf>
    <xf numFmtId="0" fontId="20" fillId="0" borderId="0" xfId="0" applyFont="1"/>
    <xf numFmtId="166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9" fontId="3" fillId="0" borderId="0" xfId="12" applyFont="1" applyBorder="1" applyAlignment="1">
      <alignment horizontal="center"/>
    </xf>
    <xf numFmtId="0" fontId="4" fillId="0" borderId="0" xfId="0" applyFont="1" applyAlignment="1">
      <alignment vertical="center" wrapText="1"/>
    </xf>
    <xf numFmtId="167" fontId="21" fillId="2" borderId="3" xfId="0" applyNumberFormat="1" applyFont="1" applyFill="1" applyBorder="1" applyAlignment="1">
      <alignment horizontal="center" vertical="center"/>
    </xf>
    <xf numFmtId="9" fontId="21" fillId="4" borderId="3" xfId="0" applyNumberFormat="1" applyFont="1" applyFill="1" applyBorder="1" applyAlignment="1">
      <alignment horizontal="left" vertical="center" wrapText="1"/>
    </xf>
    <xf numFmtId="166" fontId="21" fillId="4" borderId="3" xfId="0" applyNumberFormat="1" applyFont="1" applyFill="1" applyBorder="1" applyAlignment="1">
      <alignment horizontal="center" vertical="center"/>
    </xf>
    <xf numFmtId="167" fontId="22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66" fontId="22" fillId="0" borderId="3" xfId="0" quotePrefix="1" applyNumberFormat="1" applyFont="1" applyBorder="1" applyAlignment="1">
      <alignment horizontal="center" vertical="center" wrapText="1"/>
    </xf>
    <xf numFmtId="0" fontId="21" fillId="3" borderId="26" xfId="0" applyFont="1" applyFill="1" applyBorder="1" applyAlignment="1">
      <alignment vertical="center"/>
    </xf>
    <xf numFmtId="0" fontId="21" fillId="3" borderId="20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vertical="center"/>
    </xf>
    <xf numFmtId="9" fontId="21" fillId="3" borderId="11" xfId="0" applyNumberFormat="1" applyFont="1" applyFill="1" applyBorder="1" applyAlignment="1">
      <alignment horizontal="center" vertical="center"/>
    </xf>
    <xf numFmtId="166" fontId="21" fillId="5" borderId="1" xfId="0" applyNumberFormat="1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169" fontId="4" fillId="0" borderId="0" xfId="0" applyNumberFormat="1" applyFont="1"/>
    <xf numFmtId="44" fontId="4" fillId="0" borderId="0" xfId="0" applyNumberFormat="1" applyFont="1"/>
    <xf numFmtId="44" fontId="0" fillId="0" borderId="0" xfId="0" applyNumberFormat="1"/>
    <xf numFmtId="0" fontId="4" fillId="0" borderId="0" xfId="0" applyFon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4" fontId="3" fillId="0" borderId="0" xfId="0" applyNumberFormat="1" applyFont="1"/>
    <xf numFmtId="2" fontId="10" fillId="0" borderId="3" xfId="0" applyNumberFormat="1" applyFont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169" fontId="23" fillId="0" borderId="3" xfId="0" applyNumberFormat="1" applyFont="1" applyBorder="1" applyAlignment="1">
      <alignment horizontal="center" vertical="center"/>
    </xf>
    <xf numFmtId="0" fontId="8" fillId="0" borderId="0" xfId="0" applyFont="1"/>
    <xf numFmtId="2" fontId="0" fillId="0" borderId="0" xfId="12" applyNumberFormat="1" applyFont="1"/>
    <xf numFmtId="44" fontId="10" fillId="0" borderId="3" xfId="0" applyNumberFormat="1" applyFont="1" applyBorder="1" applyAlignment="1">
      <alignment vertical="center"/>
    </xf>
    <xf numFmtId="2" fontId="4" fillId="0" borderId="3" xfId="0" applyNumberFormat="1" applyFont="1" applyBorder="1"/>
    <xf numFmtId="44" fontId="4" fillId="0" borderId="3" xfId="0" applyNumberFormat="1" applyFont="1" applyBorder="1"/>
    <xf numFmtId="0" fontId="4" fillId="0" borderId="3" xfId="0" applyFont="1" applyBorder="1"/>
    <xf numFmtId="44" fontId="4" fillId="0" borderId="3" xfId="12" applyNumberFormat="1" applyFont="1" applyBorder="1"/>
    <xf numFmtId="169" fontId="25" fillId="0" borderId="3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44" fontId="3" fillId="0" borderId="0" xfId="0" applyNumberFormat="1" applyFont="1" applyAlignment="1">
      <alignment horizontal="center" vertical="center"/>
    </xf>
    <xf numFmtId="44" fontId="10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" fillId="0" borderId="0" xfId="6" applyFont="1" applyAlignment="1">
      <alignment horizontal="center"/>
    </xf>
    <xf numFmtId="0" fontId="11" fillId="0" borderId="13" xfId="6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11" fillId="0" borderId="0" xfId="0" applyFont="1" applyAlignment="1">
      <alignment horizontal="left"/>
    </xf>
    <xf numFmtId="0" fontId="16" fillId="0" borderId="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0" fillId="3" borderId="3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left"/>
    </xf>
    <xf numFmtId="0" fontId="11" fillId="0" borderId="24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5" borderId="11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25" xfId="0" applyFont="1" applyBorder="1" applyAlignment="1">
      <alignment horizontal="left" vertical="center" wrapText="1"/>
    </xf>
    <xf numFmtId="0" fontId="22" fillId="0" borderId="3" xfId="0" applyFont="1" applyBorder="1" applyAlignment="1">
      <alignment vertical="center" wrapText="1"/>
    </xf>
    <xf numFmtId="0" fontId="21" fillId="4" borderId="28" xfId="0" applyFont="1" applyFill="1" applyBorder="1" applyAlignment="1">
      <alignment horizontal="left" vertical="center" wrapText="1"/>
    </xf>
    <xf numFmtId="0" fontId="21" fillId="4" borderId="25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68" fontId="3" fillId="0" borderId="22" xfId="0" applyNumberFormat="1" applyFont="1" applyBorder="1" applyAlignment="1">
      <alignment horizontal="left"/>
    </xf>
    <xf numFmtId="168" fontId="3" fillId="0" borderId="0" xfId="0" applyNumberFormat="1" applyFont="1" applyAlignment="1">
      <alignment horizontal="left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</cellXfs>
  <cellStyles count="13">
    <cellStyle name="Cancel" xfId="1" xr:uid="{00000000-0005-0000-0000-000000000000}"/>
    <cellStyle name="Moneda 2" xfId="8" xr:uid="{00000000-0005-0000-0000-000002000000}"/>
    <cellStyle name="Normal" xfId="0" builtinId="0"/>
    <cellStyle name="Normal 2 2" xfId="2" xr:uid="{00000000-0005-0000-0000-000004000000}"/>
    <cellStyle name="Normal 2 2 2" xfId="6" xr:uid="{00000000-0005-0000-0000-000005000000}"/>
    <cellStyle name="Normal 2 3" xfId="3" xr:uid="{00000000-0005-0000-0000-000006000000}"/>
    <cellStyle name="Normal 2 3 2" xfId="7" xr:uid="{00000000-0005-0000-0000-000007000000}"/>
    <cellStyle name="Normal 2 3 2 2" xfId="11" xr:uid="{00000000-0005-0000-0000-000008000000}"/>
    <cellStyle name="Normal 2 3 3" xfId="10" xr:uid="{00000000-0005-0000-0000-000009000000}"/>
    <cellStyle name="Normal 4" xfId="4" xr:uid="{00000000-0005-0000-0000-00000A000000}"/>
    <cellStyle name="Normal_CP-10-060-SODEXO-BCP" xfId="5" xr:uid="{00000000-0005-0000-0000-00000B000000}"/>
    <cellStyle name="Porcentaje" xfId="12" builtinId="5"/>
    <cellStyle name="Porcentaje 2" xfId="9" xr:uid="{00000000-0005-0000-0000-00000D000000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_-&quot;S/&quot;* #,##0.00_-;\-&quot;S/&quot;* #,##0.00_-;_-&quot;S/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6" formatCode="_-[$S/.-280A]* #,##0.00_-;\-[$S/.-280A]* #,##0.00_-;_-[$S/.-280A]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6" formatCode="_-[$S/.-280A]* #,##0.00_-;\-[$S/.-280A]* #,##0.00_-;_-[$S/.-280A]* &quot;-&quot;??_-;_-@_-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603251</xdr:colOff>
      <xdr:row>30</xdr:row>
      <xdr:rowOff>304800</xdr:rowOff>
    </xdr:from>
    <xdr:to>
      <xdr:col>12</xdr:col>
      <xdr:colOff>253998</xdr:colOff>
      <xdr:row>33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B3EBE6D-DFA5-4E85-A528-0C5818C48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0801" y="7169150"/>
          <a:ext cx="1727198" cy="4699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57150</xdr:rowOff>
    </xdr:from>
    <xdr:to>
      <xdr:col>2</xdr:col>
      <xdr:colOff>550399</xdr:colOff>
      <xdr:row>2</xdr:row>
      <xdr:rowOff>31750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B908431-4F23-44BE-BEA1-BA32C20C1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57150"/>
          <a:ext cx="1413999" cy="406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127001</xdr:colOff>
      <xdr:row>30</xdr:row>
      <xdr:rowOff>63500</xdr:rowOff>
    </xdr:from>
    <xdr:to>
      <xdr:col>10</xdr:col>
      <xdr:colOff>806450</xdr:colOff>
      <xdr:row>30</xdr:row>
      <xdr:rowOff>267335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FB8D8B9-F006-4F9F-84E3-E7A31577E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4551" y="6927850"/>
          <a:ext cx="679449" cy="20383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3" displayName="Tabla3" ref="Q13:T14" totalsRowShown="0" headerRowDxfId="8" dataDxfId="6" headerRowBorderDxfId="7" tableBorderDxfId="5" totalsRowBorderDxfId="4">
  <autoFilter ref="Q13:T14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Costo proveedor " dataDxfId="3">
      <calculatedColumnFormula>SUM(#REF!)</calculatedColumnFormula>
    </tableColumn>
    <tableColumn id="2" xr3:uid="{00000000-0010-0000-0000-000002000000}" name="Costo cliente " dataDxfId="2">
      <calculatedColumnFormula>M14</calculatedColumnFormula>
    </tableColumn>
    <tableColumn id="3" xr3:uid="{00000000-0010-0000-0000-000003000000}" name="Ganancia " dataDxfId="1">
      <calculatedColumnFormula>R14-Q14</calculatedColumnFormula>
    </tableColumn>
    <tableColumn id="4" xr3:uid="{00000000-0010-0000-0000-000004000000}" name="Margen bruto " dataDxfId="0" dataCellStyle="Porcentaje">
      <calculatedColumnFormula>S14/R14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2"/>
  <sheetViews>
    <sheetView tabSelected="1" zoomScaleNormal="100" workbookViewId="0">
      <selection activeCell="D8" sqref="D8:M8"/>
    </sheetView>
  </sheetViews>
  <sheetFormatPr baseColWidth="10" defaultRowHeight="12.75" x14ac:dyDescent="0.2"/>
  <cols>
    <col min="1" max="1" width="6.5703125" customWidth="1"/>
    <col min="2" max="2" width="6.140625" customWidth="1"/>
    <col min="3" max="3" width="9" customWidth="1"/>
    <col min="4" max="4" width="5.5703125" customWidth="1"/>
    <col min="5" max="5" width="10.85546875" customWidth="1"/>
    <col min="6" max="6" width="1.140625" customWidth="1"/>
    <col min="7" max="7" width="4.5703125" customWidth="1"/>
    <col min="8" max="8" width="46.42578125" customWidth="1"/>
    <col min="9" max="9" width="7.7109375" customWidth="1"/>
    <col min="10" max="10" width="7.42578125" customWidth="1"/>
    <col min="11" max="11" width="11.7109375" customWidth="1"/>
    <col min="12" max="12" width="18" customWidth="1"/>
    <col min="13" max="13" width="14.5703125" customWidth="1"/>
    <col min="14" max="14" width="2.42578125" customWidth="1"/>
    <col min="15" max="15" width="13.5703125" customWidth="1"/>
    <col min="16" max="16" width="11.42578125" customWidth="1"/>
    <col min="17" max="17" width="16.5703125" hidden="1" customWidth="1"/>
    <col min="18" max="18" width="13.85546875" hidden="1" customWidth="1"/>
    <col min="19" max="19" width="11.42578125" hidden="1" customWidth="1"/>
    <col min="20" max="20" width="13.85546875" hidden="1" customWidth="1"/>
    <col min="21" max="22" width="11.42578125" hidden="1" customWidth="1"/>
    <col min="23" max="23" width="11.42578125" bestFit="1" customWidth="1"/>
    <col min="25" max="25" width="11.42578125" bestFit="1" customWidth="1"/>
    <col min="26" max="26" width="10.85546875" style="76"/>
    <col min="27" max="27" width="13.140625" style="76" customWidth="1"/>
  </cols>
  <sheetData>
    <row r="1" spans="1:28" ht="17.100000000000001" customHeight="1" x14ac:dyDescent="0.2">
      <c r="A1" s="87"/>
      <c r="B1" s="88"/>
      <c r="C1" s="88"/>
      <c r="D1" s="112" t="s">
        <v>8</v>
      </c>
      <c r="E1" s="112"/>
      <c r="F1" s="112"/>
      <c r="G1" s="112"/>
      <c r="H1" s="112"/>
      <c r="I1" s="112"/>
      <c r="J1" s="112"/>
      <c r="K1" s="25"/>
      <c r="L1" s="25"/>
      <c r="M1" s="21" t="s">
        <v>22</v>
      </c>
    </row>
    <row r="2" spans="1:28" ht="17.100000000000001" customHeight="1" x14ac:dyDescent="0.2">
      <c r="A2" s="89"/>
      <c r="B2" s="90"/>
      <c r="C2" s="90"/>
      <c r="D2" s="113"/>
      <c r="E2" s="113"/>
      <c r="F2" s="113"/>
      <c r="G2" s="113"/>
      <c r="H2" s="113"/>
      <c r="I2" s="113"/>
      <c r="J2" s="113"/>
      <c r="K2" s="26"/>
      <c r="L2" s="26"/>
      <c r="M2" s="22" t="s">
        <v>23</v>
      </c>
    </row>
    <row r="3" spans="1:28" ht="17.100000000000001" customHeight="1" thickBot="1" x14ac:dyDescent="0.25">
      <c r="A3" s="91"/>
      <c r="B3" s="92"/>
      <c r="C3" s="92"/>
      <c r="D3" s="114"/>
      <c r="E3" s="114"/>
      <c r="F3" s="114"/>
      <c r="G3" s="114"/>
      <c r="H3" s="114"/>
      <c r="I3" s="114"/>
      <c r="J3" s="114"/>
      <c r="K3" s="27"/>
      <c r="L3" s="27"/>
      <c r="M3" s="23" t="s">
        <v>24</v>
      </c>
    </row>
    <row r="4" spans="1:28" ht="3.75" customHeight="1" x14ac:dyDescent="0.25">
      <c r="A4" s="3"/>
      <c r="B4" s="2"/>
      <c r="C4" s="2"/>
      <c r="D4" s="115">
        <f ca="1">TODAY()</f>
        <v>46230</v>
      </c>
      <c r="E4" s="115"/>
      <c r="F4" s="115"/>
      <c r="G4" s="115"/>
      <c r="H4" s="115"/>
      <c r="I4" s="115"/>
      <c r="J4" s="115"/>
      <c r="K4" s="115"/>
      <c r="L4" s="115"/>
      <c r="M4" s="4"/>
    </row>
    <row r="5" spans="1:28" ht="15" customHeight="1" x14ac:dyDescent="0.2">
      <c r="A5" s="86" t="s">
        <v>0</v>
      </c>
      <c r="B5" s="86"/>
      <c r="C5" s="86"/>
      <c r="D5" s="116"/>
      <c r="E5" s="116"/>
      <c r="F5" s="116"/>
      <c r="G5" s="116"/>
      <c r="H5" s="116"/>
      <c r="I5" s="116"/>
      <c r="J5" s="116"/>
      <c r="K5" s="116"/>
      <c r="L5" s="116"/>
      <c r="M5" s="15"/>
      <c r="O5" s="107"/>
      <c r="P5" s="107"/>
    </row>
    <row r="6" spans="1:28" ht="15" customHeight="1" x14ac:dyDescent="0.2">
      <c r="A6" s="86" t="s">
        <v>33</v>
      </c>
      <c r="B6" s="86"/>
      <c r="C6" s="86"/>
      <c r="D6" s="93" t="s">
        <v>50</v>
      </c>
      <c r="E6" s="93"/>
      <c r="F6" s="93"/>
      <c r="G6" s="93"/>
      <c r="H6" s="93"/>
      <c r="I6" s="93"/>
      <c r="J6" s="93"/>
      <c r="K6" s="93"/>
      <c r="L6" s="93"/>
      <c r="M6" s="93"/>
      <c r="O6" s="107"/>
      <c r="P6" s="107"/>
      <c r="Q6" s="33"/>
      <c r="R6" s="34"/>
      <c r="S6" s="34"/>
      <c r="T6" s="35"/>
    </row>
    <row r="7" spans="1:28" ht="15" customHeight="1" x14ac:dyDescent="0.2">
      <c r="A7" s="86" t="s">
        <v>34</v>
      </c>
      <c r="B7" s="86"/>
      <c r="C7" s="86"/>
      <c r="D7" s="96"/>
      <c r="E7" s="96"/>
      <c r="F7" s="96"/>
      <c r="G7" s="96"/>
      <c r="H7" s="96"/>
      <c r="I7" s="96"/>
      <c r="J7" s="96"/>
      <c r="K7" s="96"/>
      <c r="L7" s="96"/>
      <c r="M7" s="96"/>
      <c r="O7" s="107"/>
      <c r="P7" s="107"/>
      <c r="Q7" s="36"/>
      <c r="R7" s="37"/>
      <c r="S7" s="38"/>
      <c r="T7" s="39"/>
    </row>
    <row r="8" spans="1:28" ht="27.95" customHeight="1" x14ac:dyDescent="0.2">
      <c r="A8" s="86" t="s">
        <v>15</v>
      </c>
      <c r="B8" s="86"/>
      <c r="C8" s="86"/>
      <c r="D8" s="108" t="s">
        <v>52</v>
      </c>
      <c r="E8" s="108"/>
      <c r="F8" s="108"/>
      <c r="G8" s="108"/>
      <c r="H8" s="108"/>
      <c r="I8" s="108"/>
      <c r="J8" s="108"/>
      <c r="K8" s="108"/>
      <c r="L8" s="108"/>
      <c r="M8" s="108"/>
      <c r="O8" s="107"/>
      <c r="P8" s="107"/>
      <c r="R8" s="14"/>
    </row>
    <row r="9" spans="1:28" ht="2.4500000000000002" customHeight="1" thickBot="1" x14ac:dyDescent="0.3">
      <c r="A9" s="5"/>
      <c r="B9" s="5"/>
      <c r="C9" s="6"/>
      <c r="D9" s="6"/>
      <c r="E9" s="6"/>
      <c r="F9" s="6"/>
      <c r="G9" s="6"/>
      <c r="H9" s="6"/>
      <c r="I9" s="6"/>
      <c r="J9" s="6"/>
      <c r="K9" s="7"/>
      <c r="L9" s="7"/>
      <c r="M9" s="8"/>
    </row>
    <row r="10" spans="1:28" ht="22.5" customHeight="1" thickBot="1" x14ac:dyDescent="0.25">
      <c r="A10" s="101" t="s">
        <v>4</v>
      </c>
      <c r="B10" s="102"/>
      <c r="C10" s="102"/>
      <c r="D10" s="99"/>
      <c r="E10" s="99"/>
      <c r="F10" s="99"/>
      <c r="G10" s="99"/>
      <c r="H10" s="99"/>
      <c r="I10" s="99"/>
      <c r="J10" s="100"/>
      <c r="K10" s="103" t="s">
        <v>25</v>
      </c>
      <c r="L10" s="103"/>
      <c r="M10" s="104"/>
      <c r="W10" s="67"/>
    </row>
    <row r="11" spans="1:28" ht="20.100000000000001" customHeight="1" thickBot="1" x14ac:dyDescent="0.25">
      <c r="A11" s="97" t="s">
        <v>5</v>
      </c>
      <c r="B11" s="98"/>
      <c r="C11" s="98"/>
      <c r="D11" s="99" t="s">
        <v>27</v>
      </c>
      <c r="E11" s="99"/>
      <c r="F11" s="99"/>
      <c r="G11" s="99"/>
      <c r="H11" s="99"/>
      <c r="I11" s="99"/>
      <c r="J11" s="100"/>
      <c r="K11" s="105" t="s">
        <v>51</v>
      </c>
      <c r="L11" s="105"/>
      <c r="M11" s="106"/>
    </row>
    <row r="12" spans="1:28" ht="5.25" customHeight="1" x14ac:dyDescent="0.2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</row>
    <row r="13" spans="1:28" s="1" customFormat="1" ht="38.25" customHeight="1" x14ac:dyDescent="0.2">
      <c r="A13" s="28" t="s">
        <v>1</v>
      </c>
      <c r="B13" s="95" t="s">
        <v>2</v>
      </c>
      <c r="C13" s="95"/>
      <c r="D13" s="95"/>
      <c r="E13" s="95"/>
      <c r="F13" s="95"/>
      <c r="G13" s="95"/>
      <c r="H13" s="95"/>
      <c r="I13" s="28" t="s">
        <v>3</v>
      </c>
      <c r="J13" s="29" t="s">
        <v>21</v>
      </c>
      <c r="K13" s="29" t="s">
        <v>36</v>
      </c>
      <c r="L13" s="29" t="s">
        <v>30</v>
      </c>
      <c r="M13" s="29" t="s">
        <v>14</v>
      </c>
      <c r="Q13" s="33" t="s">
        <v>28</v>
      </c>
      <c r="R13" s="34" t="s">
        <v>31</v>
      </c>
      <c r="S13" s="34" t="s">
        <v>29</v>
      </c>
      <c r="T13" s="35" t="s">
        <v>32</v>
      </c>
      <c r="Z13" s="77"/>
      <c r="AA13" s="77"/>
    </row>
    <row r="14" spans="1:28" s="1" customFormat="1" ht="33" customHeight="1" x14ac:dyDescent="0.2">
      <c r="A14" s="45">
        <v>1</v>
      </c>
      <c r="B14" s="110" t="str">
        <f>D8</f>
        <v>SERVICIO DE SUMINISTRO E INSTALACION DE  FRENO  DE PUERTA DE LA OFICINA IA BARRIO PISO 6 FAISANES</v>
      </c>
      <c r="C14" s="111"/>
      <c r="D14" s="111"/>
      <c r="E14" s="111"/>
      <c r="F14" s="111"/>
      <c r="G14" s="111"/>
      <c r="H14" s="111"/>
      <c r="I14" s="111"/>
      <c r="J14" s="111"/>
      <c r="K14" s="46"/>
      <c r="L14" s="46"/>
      <c r="M14" s="47">
        <f>SUM(L15:L16)</f>
        <v>1029.4117647058824</v>
      </c>
      <c r="O14" s="31"/>
      <c r="Q14" s="36" t="e">
        <f>SUM(#REF!)</f>
        <v>#REF!</v>
      </c>
      <c r="R14" s="37">
        <f>M14</f>
        <v>1029.4117647058824</v>
      </c>
      <c r="S14" s="38" t="e">
        <f>R14-Q14</f>
        <v>#REF!</v>
      </c>
      <c r="T14" s="39" t="e">
        <f>S14/R14</f>
        <v>#REF!</v>
      </c>
      <c r="X14" s="1">
        <v>0.73342857142857099</v>
      </c>
      <c r="Z14" s="65" t="s">
        <v>42</v>
      </c>
      <c r="AA14" s="65" t="s">
        <v>44</v>
      </c>
      <c r="AB14" s="65" t="s">
        <v>43</v>
      </c>
    </row>
    <row r="15" spans="1:28" s="12" customFormat="1" ht="56.45" customHeight="1" x14ac:dyDescent="0.2">
      <c r="A15" s="48">
        <v>1.01</v>
      </c>
      <c r="B15" s="109" t="s">
        <v>49</v>
      </c>
      <c r="C15" s="109"/>
      <c r="D15" s="109"/>
      <c r="E15" s="109"/>
      <c r="F15" s="109"/>
      <c r="G15" s="109"/>
      <c r="H15" s="109"/>
      <c r="I15" s="49" t="s">
        <v>35</v>
      </c>
      <c r="J15" s="49">
        <v>1</v>
      </c>
      <c r="K15" s="50">
        <f>O15/0.85</f>
        <v>888.23529411764707</v>
      </c>
      <c r="L15" s="50">
        <f>K15*J15</f>
        <v>888.23529411764707</v>
      </c>
      <c r="M15" s="50">
        <f>J15*K15</f>
        <v>888.23529411764707</v>
      </c>
      <c r="O15" s="62">
        <v>755</v>
      </c>
      <c r="P15" s="61">
        <f>+O15*J15</f>
        <v>755</v>
      </c>
      <c r="Q15" s="60"/>
      <c r="R15" s="60"/>
      <c r="S15" s="60"/>
      <c r="T15" s="60"/>
      <c r="U15" s="60"/>
      <c r="V15" s="60"/>
      <c r="W15" s="69">
        <f>+P15</f>
        <v>755</v>
      </c>
      <c r="X15" s="70">
        <f>+W15/M17</f>
        <v>0.73342857142857132</v>
      </c>
      <c r="Y15" s="58"/>
      <c r="Z15" s="64" t="s">
        <v>45</v>
      </c>
      <c r="AA15" s="78" t="s">
        <v>47</v>
      </c>
      <c r="AB15" s="74">
        <v>138</v>
      </c>
    </row>
    <row r="16" spans="1:28" s="12" customFormat="1" ht="56.45" customHeight="1" thickBot="1" x14ac:dyDescent="0.25">
      <c r="A16" s="48">
        <f>+A15+0.01</f>
        <v>1.02</v>
      </c>
      <c r="B16" s="109" t="s">
        <v>53</v>
      </c>
      <c r="C16" s="109"/>
      <c r="D16" s="109"/>
      <c r="E16" s="109"/>
      <c r="F16" s="109"/>
      <c r="G16" s="109"/>
      <c r="H16" s="109"/>
      <c r="I16" s="49" t="s">
        <v>48</v>
      </c>
      <c r="J16" s="49">
        <v>1</v>
      </c>
      <c r="K16" s="50">
        <f>O16/0.85</f>
        <v>141.1764705882353</v>
      </c>
      <c r="L16" s="50">
        <f t="shared" ref="L16" si="0">K16*J16</f>
        <v>141.1764705882353</v>
      </c>
      <c r="M16" s="50">
        <f t="shared" ref="M16" si="1">J16*K16</f>
        <v>141.1764705882353</v>
      </c>
      <c r="O16" s="61">
        <v>120</v>
      </c>
      <c r="P16" s="61">
        <f>+O16*J16</f>
        <v>120</v>
      </c>
      <c r="Q16" s="60"/>
      <c r="R16" s="60"/>
      <c r="S16" s="60"/>
      <c r="T16" s="60"/>
      <c r="U16" s="60"/>
      <c r="V16" s="60"/>
      <c r="W16" s="69"/>
      <c r="X16" s="71"/>
      <c r="Y16" s="58"/>
      <c r="Z16" s="80" t="s">
        <v>46</v>
      </c>
      <c r="AA16" s="75">
        <v>10089155</v>
      </c>
      <c r="AB16" s="66">
        <v>67.13</v>
      </c>
    </row>
    <row r="17" spans="1:27" s="12" customFormat="1" ht="21.95" customHeight="1" thickBot="1" x14ac:dyDescent="0.25">
      <c r="A17" s="1"/>
      <c r="B17" s="1"/>
      <c r="C17" s="1"/>
      <c r="D17" s="1"/>
      <c r="E17" s="13"/>
      <c r="F17" s="13"/>
      <c r="G17" s="13"/>
      <c r="H17" s="13"/>
      <c r="I17" s="1"/>
      <c r="J17" s="51" t="s">
        <v>20</v>
      </c>
      <c r="K17" s="52"/>
      <c r="L17" s="52"/>
      <c r="M17" s="55">
        <f>M14</f>
        <v>1029.4117647058824</v>
      </c>
      <c r="O17" s="30"/>
      <c r="P17" s="57"/>
      <c r="Q17" s="41"/>
      <c r="R17" s="41"/>
      <c r="S17" s="42"/>
      <c r="T17" s="43"/>
      <c r="W17" s="72"/>
      <c r="X17" s="73"/>
      <c r="Z17" s="61">
        <f>+X17/M17</f>
        <v>0</v>
      </c>
      <c r="AA17" s="60"/>
    </row>
    <row r="18" spans="1:27" s="1" customFormat="1" ht="15" customHeight="1" thickBot="1" x14ac:dyDescent="0.25">
      <c r="J18" s="53" t="s">
        <v>6</v>
      </c>
      <c r="K18" s="54"/>
      <c r="L18" s="54">
        <v>0.18</v>
      </c>
      <c r="M18" s="55">
        <f>M17*L18</f>
        <v>185.29411764705884</v>
      </c>
      <c r="Q18" s="12"/>
      <c r="R18" s="12"/>
      <c r="S18" s="12"/>
      <c r="T18" s="12"/>
      <c r="X18" s="63"/>
      <c r="Y18" s="63"/>
      <c r="Z18" s="77">
        <v>0.70029280965171103</v>
      </c>
      <c r="AA18" s="79">
        <f>+X17/0.700292809651711</f>
        <v>0</v>
      </c>
    </row>
    <row r="19" spans="1:27" s="1" customFormat="1" ht="15" customHeight="1" thickBot="1" x14ac:dyDescent="0.25">
      <c r="A19"/>
      <c r="B19"/>
      <c r="C19"/>
      <c r="D19"/>
      <c r="E19"/>
      <c r="F19" s="16"/>
      <c r="G19" s="16"/>
      <c r="H19" s="16"/>
      <c r="I19" s="16"/>
      <c r="J19" s="53" t="s">
        <v>7</v>
      </c>
      <c r="K19" s="56"/>
      <c r="L19" s="56"/>
      <c r="M19" s="55">
        <f>SUM(M17:M18)</f>
        <v>1214.7058823529412</v>
      </c>
      <c r="W19" s="63">
        <f>+W15/0.733428571428571</f>
        <v>1029.4117647058829</v>
      </c>
      <c r="Z19" s="77"/>
      <c r="AA19" s="77"/>
    </row>
    <row r="20" spans="1:27" ht="15" customHeight="1" x14ac:dyDescent="0.2">
      <c r="A20" s="86" t="s">
        <v>10</v>
      </c>
      <c r="B20" s="86"/>
      <c r="C20" s="86"/>
      <c r="D20" s="86"/>
      <c r="E20" s="86"/>
      <c r="F20" s="86"/>
      <c r="G20" s="86"/>
      <c r="H20" s="86"/>
      <c r="I20" s="86"/>
      <c r="J20" s="86"/>
      <c r="K20" s="12"/>
      <c r="L20" s="12"/>
      <c r="M20" s="32"/>
      <c r="Y20" s="68"/>
    </row>
    <row r="21" spans="1:27" ht="15" customHeight="1" x14ac:dyDescent="0.2">
      <c r="A21" s="12"/>
      <c r="B21" s="20">
        <v>1</v>
      </c>
      <c r="C21" s="81" t="s">
        <v>11</v>
      </c>
      <c r="D21" s="81"/>
      <c r="E21" s="81"/>
      <c r="F21" s="16"/>
      <c r="G21" s="19">
        <f>B21+0.01</f>
        <v>1.01</v>
      </c>
      <c r="H21" s="82" t="s">
        <v>39</v>
      </c>
      <c r="I21" s="82"/>
      <c r="J21" s="82"/>
      <c r="K21" s="82"/>
      <c r="L21" s="82"/>
      <c r="M21" s="82"/>
      <c r="W21" s="59"/>
      <c r="Y21" s="59"/>
    </row>
    <row r="22" spans="1:27" ht="12.75" customHeight="1" x14ac:dyDescent="0.2">
      <c r="A22" s="12"/>
      <c r="B22" s="20">
        <f>B21+1</f>
        <v>2</v>
      </c>
      <c r="C22" s="81" t="s">
        <v>12</v>
      </c>
      <c r="D22" s="81"/>
      <c r="E22" s="81"/>
      <c r="F22" s="17"/>
      <c r="G22" s="19">
        <v>2.0099999999999998</v>
      </c>
      <c r="H22" s="82" t="s">
        <v>13</v>
      </c>
      <c r="I22" s="82"/>
      <c r="J22" s="82"/>
      <c r="K22" s="82"/>
      <c r="L22" s="82"/>
      <c r="M22" s="82"/>
    </row>
    <row r="23" spans="1:27" ht="12.75" customHeight="1" x14ac:dyDescent="0.2">
      <c r="A23" s="12"/>
      <c r="B23" s="20">
        <f>B22+1</f>
        <v>3</v>
      </c>
      <c r="C23" s="81" t="s">
        <v>16</v>
      </c>
      <c r="D23" s="81"/>
      <c r="E23" s="81"/>
      <c r="F23" s="16"/>
      <c r="G23" s="19">
        <f>B23+0.01</f>
        <v>3.01</v>
      </c>
      <c r="H23" s="82" t="s">
        <v>26</v>
      </c>
      <c r="I23" s="82"/>
      <c r="J23" s="82"/>
      <c r="K23" s="82"/>
      <c r="L23" s="82"/>
      <c r="M23" s="82"/>
      <c r="X23" s="59"/>
    </row>
    <row r="24" spans="1:27" ht="12.75" customHeight="1" x14ac:dyDescent="0.2">
      <c r="A24" s="12"/>
      <c r="B24" s="20">
        <f>B23+1</f>
        <v>4</v>
      </c>
      <c r="C24" s="81" t="s">
        <v>17</v>
      </c>
      <c r="D24" s="81"/>
      <c r="E24" s="81"/>
      <c r="F24" s="17"/>
      <c r="G24" s="19">
        <f>B24+0.01</f>
        <v>4.01</v>
      </c>
      <c r="H24" s="82" t="s">
        <v>26</v>
      </c>
      <c r="I24" s="82"/>
      <c r="J24" s="82"/>
      <c r="K24" s="82"/>
      <c r="L24" s="82"/>
      <c r="M24" s="82"/>
    </row>
    <row r="25" spans="1:27" ht="12.75" customHeight="1" x14ac:dyDescent="0.2">
      <c r="A25" s="12"/>
      <c r="B25" s="20">
        <f>B24+1</f>
        <v>5</v>
      </c>
      <c r="C25" s="81" t="s">
        <v>18</v>
      </c>
      <c r="D25" s="81"/>
      <c r="E25" s="81"/>
      <c r="F25" s="16"/>
      <c r="G25" s="19">
        <f>B25+0.01</f>
        <v>5.01</v>
      </c>
      <c r="H25" s="82" t="s">
        <v>26</v>
      </c>
      <c r="I25" s="82"/>
      <c r="J25" s="82"/>
      <c r="K25" s="82"/>
      <c r="L25" s="82"/>
      <c r="M25" s="82"/>
    </row>
    <row r="26" spans="1:27" ht="12.75" customHeight="1" x14ac:dyDescent="0.2">
      <c r="A26" s="12"/>
      <c r="B26" s="20">
        <v>6</v>
      </c>
      <c r="C26" s="81" t="s">
        <v>40</v>
      </c>
      <c r="D26" s="81"/>
      <c r="E26" s="81"/>
      <c r="F26" s="17"/>
      <c r="G26" s="19">
        <f>B26+0.01</f>
        <v>6.01</v>
      </c>
      <c r="H26" s="81" t="s">
        <v>41</v>
      </c>
      <c r="I26" s="81"/>
      <c r="J26" s="81"/>
      <c r="K26" s="81"/>
      <c r="L26" s="81"/>
      <c r="M26" s="81"/>
    </row>
    <row r="27" spans="1:27" ht="12.75" customHeight="1" x14ac:dyDescent="0.2">
      <c r="A27" s="12"/>
      <c r="B27" s="20"/>
      <c r="C27" s="81"/>
      <c r="D27" s="81"/>
      <c r="E27" s="81"/>
      <c r="F27" s="17"/>
      <c r="G27" s="19"/>
      <c r="H27" s="82"/>
      <c r="I27" s="82"/>
      <c r="J27" s="82"/>
      <c r="K27" s="82"/>
      <c r="L27" s="82"/>
      <c r="M27" s="82"/>
    </row>
    <row r="28" spans="1:27" ht="12.75" customHeight="1" x14ac:dyDescent="0.2">
      <c r="A28" s="86" t="s">
        <v>9</v>
      </c>
      <c r="B28" s="86"/>
      <c r="C28" s="86"/>
      <c r="D28" s="86"/>
      <c r="E28" s="86"/>
      <c r="F28" s="86"/>
      <c r="G28" s="86"/>
      <c r="H28" s="86"/>
      <c r="I28" s="86"/>
      <c r="J28" s="86"/>
    </row>
    <row r="29" spans="1:27" x14ac:dyDescent="0.2">
      <c r="B29" s="11">
        <v>1</v>
      </c>
      <c r="C29" s="85" t="s">
        <v>19</v>
      </c>
      <c r="D29" s="85"/>
      <c r="E29" s="85"/>
      <c r="F29" s="85"/>
      <c r="G29" s="85"/>
      <c r="H29" s="85"/>
      <c r="I29" s="85"/>
      <c r="J29" s="9"/>
    </row>
    <row r="30" spans="1:27" ht="33" customHeight="1" x14ac:dyDescent="0.2">
      <c r="B30" s="18"/>
      <c r="C30" s="85"/>
      <c r="D30" s="85"/>
      <c r="E30" s="85"/>
      <c r="F30" s="85"/>
      <c r="G30" s="85"/>
      <c r="H30" s="85"/>
      <c r="I30" s="85"/>
      <c r="J30" s="9"/>
    </row>
    <row r="31" spans="1:27" ht="25.5" customHeight="1" x14ac:dyDescent="0.2">
      <c r="B31" s="11"/>
      <c r="C31" s="44"/>
      <c r="D31" s="44"/>
      <c r="E31" s="44"/>
      <c r="F31" s="44"/>
      <c r="G31" s="44"/>
      <c r="H31" s="44"/>
      <c r="I31" s="44"/>
      <c r="J31" s="10"/>
      <c r="K31" s="117"/>
      <c r="L31" s="118"/>
      <c r="M31" s="119"/>
    </row>
    <row r="32" spans="1:27" ht="12.75" customHeight="1" x14ac:dyDescent="0.2">
      <c r="C32" s="44"/>
      <c r="D32" s="44"/>
      <c r="E32" s="44"/>
      <c r="F32" s="44"/>
      <c r="G32" s="44"/>
      <c r="H32" s="44"/>
      <c r="I32" s="44"/>
      <c r="K32" s="120"/>
      <c r="L32" s="107"/>
      <c r="M32" s="121"/>
    </row>
    <row r="33" spans="2:13" x14ac:dyDescent="0.2">
      <c r="B33" s="11"/>
      <c r="C33" s="24"/>
      <c r="D33" s="24"/>
      <c r="E33" s="24"/>
      <c r="F33" s="24"/>
      <c r="G33" s="24"/>
      <c r="H33" s="24"/>
      <c r="I33" s="24"/>
      <c r="K33" s="120"/>
      <c r="L33" s="107"/>
      <c r="M33" s="121"/>
    </row>
    <row r="34" spans="2:13" x14ac:dyDescent="0.2">
      <c r="C34" s="24"/>
      <c r="D34" s="24"/>
      <c r="E34" s="24"/>
      <c r="F34" s="24"/>
      <c r="G34" s="24"/>
      <c r="H34" s="24"/>
      <c r="I34" s="24"/>
      <c r="K34" s="122"/>
      <c r="L34" s="123"/>
      <c r="M34" s="124"/>
    </row>
    <row r="35" spans="2:13" x14ac:dyDescent="0.2">
      <c r="C35" s="24"/>
      <c r="D35" s="24"/>
      <c r="E35" s="24"/>
      <c r="F35" s="24"/>
      <c r="G35" s="24"/>
      <c r="H35" s="24"/>
      <c r="I35" s="24"/>
      <c r="K35" s="84" t="s">
        <v>38</v>
      </c>
      <c r="L35" s="84"/>
      <c r="M35" s="84"/>
    </row>
    <row r="36" spans="2:13" x14ac:dyDescent="0.2">
      <c r="C36" s="24"/>
      <c r="D36" s="24"/>
      <c r="E36" s="24"/>
      <c r="F36" s="24"/>
      <c r="G36" s="24"/>
      <c r="H36" s="24"/>
      <c r="I36" s="24"/>
      <c r="K36" s="83" t="s">
        <v>37</v>
      </c>
      <c r="L36" s="83"/>
      <c r="M36" s="83"/>
    </row>
    <row r="62" spans="7:7" ht="18" x14ac:dyDescent="0.25">
      <c r="G62" s="40"/>
    </row>
  </sheetData>
  <mergeCells count="42">
    <mergeCell ref="A20:J20"/>
    <mergeCell ref="C21:E21"/>
    <mergeCell ref="H21:M21"/>
    <mergeCell ref="C22:E22"/>
    <mergeCell ref="K35:M35"/>
    <mergeCell ref="H22:M22"/>
    <mergeCell ref="H23:M23"/>
    <mergeCell ref="C23:E23"/>
    <mergeCell ref="K36:M36"/>
    <mergeCell ref="C24:E24"/>
    <mergeCell ref="C25:E25"/>
    <mergeCell ref="C26:E26"/>
    <mergeCell ref="H24:M24"/>
    <mergeCell ref="H25:M25"/>
    <mergeCell ref="H26:M26"/>
    <mergeCell ref="C27:E27"/>
    <mergeCell ref="A28:J28"/>
    <mergeCell ref="C29:I30"/>
    <mergeCell ref="H27:M27"/>
    <mergeCell ref="K31:M34"/>
    <mergeCell ref="A1:C3"/>
    <mergeCell ref="D1:J3"/>
    <mergeCell ref="A5:C5"/>
    <mergeCell ref="A6:C6"/>
    <mergeCell ref="D6:M6"/>
    <mergeCell ref="D4:L5"/>
    <mergeCell ref="D11:J11"/>
    <mergeCell ref="B13:H13"/>
    <mergeCell ref="B16:H16"/>
    <mergeCell ref="B15:H15"/>
    <mergeCell ref="K11:M11"/>
    <mergeCell ref="A12:M12"/>
    <mergeCell ref="B14:J14"/>
    <mergeCell ref="A11:C11"/>
    <mergeCell ref="O5:P8"/>
    <mergeCell ref="A7:C7"/>
    <mergeCell ref="A8:C8"/>
    <mergeCell ref="A10:C10"/>
    <mergeCell ref="D10:J10"/>
    <mergeCell ref="D7:M7"/>
    <mergeCell ref="D8:M8"/>
    <mergeCell ref="K10:M10"/>
  </mergeCells>
  <phoneticPr fontId="4" type="noConversion"/>
  <pageMargins left="0.19685039370078741" right="0.15748031496062992" top="0.74803149606299213" bottom="0.74803149606299213" header="0.31496062992125984" footer="0.31496062992125984"/>
  <pageSetup paperSize="9" scale="63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COTIZACION</vt:lpstr>
      <vt:lpstr>COTIZACION!Print_Area</vt:lpstr>
    </vt:vector>
  </TitlesOfParts>
  <Company>NCD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</dc:creator>
  <cp:lastModifiedBy>ALUMNO - MILAGROS CABANILLAS HOYOS</cp:lastModifiedBy>
  <cp:lastPrinted>2026-07-09T23:39:03Z</cp:lastPrinted>
  <dcterms:created xsi:type="dcterms:W3CDTF">2005-10-14T12:24:12Z</dcterms:created>
  <dcterms:modified xsi:type="dcterms:W3CDTF">2026-07-27T05:02:28Z</dcterms:modified>
</cp:coreProperties>
</file>