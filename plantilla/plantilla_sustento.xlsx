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Extraer_Datos_Milagros\CotizadorFMI\plantilla\"/>
    </mc:Choice>
  </mc:AlternateContent>
  <xr:revisionPtr revIDLastSave="0" documentId="8_{C642FFF5-06BA-4F2E-BF8D-0DB5A4D64664}" xr6:coauthVersionLast="47" xr6:coauthVersionMax="47" xr10:uidLastSave="{00000000-0000-0000-0000-000000000000}"/>
  <bookViews>
    <workbookView xWindow="-120" yWindow="-120" windowWidth="38640" windowHeight="21120" xr2:uid="{A99A9E94-1108-448A-986D-22657D85E090}"/>
  </bookViews>
  <sheets>
    <sheet name="SUSTENTO" sheetId="1" r:id="rId1"/>
  </sheets>
  <definedNames>
    <definedName name="Print_Area" localSheetId="0">SUSTENTO!$A$1:$N$50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4" i="1" l="1"/>
  <c r="G35" i="1"/>
  <c r="G36" i="1"/>
  <c r="G18" i="1"/>
  <c r="G19" i="1" s="1"/>
  <c r="J36" i="1" s="1"/>
  <c r="G28" i="1"/>
  <c r="G29" i="1" s="1"/>
  <c r="J35" i="1" s="1"/>
  <c r="E5" i="1"/>
  <c r="G12" i="1" s="1"/>
  <c r="G37" i="1" l="1"/>
  <c r="G39" i="1" s="1"/>
  <c r="J37" i="1" l="1"/>
</calcChain>
</file>

<file path=xl/sharedStrings.xml><?xml version="1.0" encoding="utf-8"?>
<sst xmlns="http://schemas.openxmlformats.org/spreadsheetml/2006/main" count="36" uniqueCount="33">
  <si>
    <t>SUSTENTO DE INGRESOS Y GASTOS</t>
  </si>
  <si>
    <t>Codigo:</t>
  </si>
  <si>
    <t>PAN-FO-FM-11</t>
  </si>
  <si>
    <t>Version:</t>
  </si>
  <si>
    <t>01</t>
  </si>
  <si>
    <t>Pagina:</t>
  </si>
  <si>
    <t>1 de 1</t>
  </si>
  <si>
    <t>Fecha:</t>
  </si>
  <si>
    <t>Presupuesto Economico de referencia</t>
  </si>
  <si>
    <t>GASTO</t>
  </si>
  <si>
    <t>Mes :</t>
  </si>
  <si>
    <t>MOTIVO :</t>
  </si>
  <si>
    <t>Proveedor :</t>
  </si>
  <si>
    <t>Monto</t>
  </si>
  <si>
    <t>IGV</t>
  </si>
  <si>
    <t>Total c/IGV</t>
  </si>
  <si>
    <t>VENTA</t>
  </si>
  <si>
    <t>Cliente :</t>
  </si>
  <si>
    <t>Local / Sede :</t>
  </si>
  <si>
    <t>Monto c/IGV</t>
  </si>
  <si>
    <t>RESUMEN</t>
  </si>
  <si>
    <t>s/IGV</t>
  </si>
  <si>
    <t>c/IGV</t>
  </si>
  <si>
    <t xml:space="preserve">Total Venta </t>
  </si>
  <si>
    <t>Total Gasto</t>
  </si>
  <si>
    <t>Utilidad Obtenida</t>
  </si>
  <si>
    <t>Carlos Miguel Toledo Santa Cruz</t>
  </si>
  <si>
    <t>Jefe de Servi. Gener. - Chorrillos</t>
  </si>
  <si>
    <t>FMI - 0245-26</t>
  </si>
  <si>
    <t>JM GLASS S.A.C</t>
  </si>
  <si>
    <t>UP GRADE S.A.C</t>
  </si>
  <si>
    <t>Servicio de suministro e instalacion de  freno  de puerta de la oficina ia barrio piso 6 Faisanes</t>
  </si>
  <si>
    <t>oficina ia barrio piso 6 Faisanes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</si>
</sst>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.00"/>
    <numFmt numFmtId="165" formatCode="_-[$S/.-280A]* #,##0.00_-;\-[$S/.-280A]* #,##0.00_-;_-[$S/.-280A]* &quot;-&quot;??_-;_-@_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Tahoma"/>
      <family val="2"/>
    </font>
    <font>
      <b/>
      <sz val="14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</cellStyleXfs>
  <cellXfs count="157">
    <xf numFmtId="0" fontId="0" fillId="0" borderId="0" xfId="0"/>
    <xf numFmtId="49" fontId="5" fillId="0" borderId="6" xfId="2" applyNumberFormat="1" applyFont="1" applyBorder="1" applyAlignment="1">
      <alignment horizontal="center" vertical="center"/>
    </xf>
    <xf numFmtId="49" fontId="5" fillId="0" borderId="11" xfId="2" applyNumberFormat="1" applyFont="1" applyBorder="1" applyAlignment="1">
      <alignment horizontal="center" vertical="center"/>
    </xf>
    <xf numFmtId="49" fontId="5" fillId="0" borderId="17" xfId="2" applyNumberFormat="1" applyFont="1" applyBorder="1" applyAlignment="1">
      <alignment horizontal="center" vertical="center"/>
    </xf>
    <xf numFmtId="0" fontId="2" fillId="0" borderId="0" xfId="3"/>
    <xf numFmtId="0" fontId="6" fillId="0" borderId="0" xfId="2" applyFont="1"/>
    <xf numFmtId="0" fontId="7" fillId="0" borderId="0" xfId="2" applyFont="1" applyAlignment="1">
      <alignment horizontal="center"/>
    </xf>
    <xf numFmtId="0" fontId="9" fillId="0" borderId="0" xfId="2" applyFont="1" applyAlignment="1">
      <alignment horizontal="left"/>
    </xf>
    <xf numFmtId="0" fontId="10" fillId="0" borderId="0" xfId="2" applyFont="1" applyAlignment="1">
      <alignment horizontal="left"/>
    </xf>
    <xf numFmtId="0" fontId="11" fillId="0" borderId="0" xfId="2" applyFont="1" applyAlignment="1">
      <alignment horizontal="center"/>
    </xf>
    <xf numFmtId="0" fontId="11" fillId="0" borderId="0" xfId="2" applyFont="1" applyAlignment="1">
      <alignment horizontal="right" wrapText="1"/>
    </xf>
    <xf numFmtId="0" fontId="2" fillId="0" borderId="0" xfId="2"/>
    <xf numFmtId="0" fontId="12" fillId="0" borderId="0" xfId="2" applyFont="1" applyAlignment="1">
      <alignment horizontal="center"/>
    </xf>
    <xf numFmtId="164" fontId="13" fillId="0" borderId="0" xfId="2" applyNumberFormat="1" applyFont="1" applyAlignment="1">
      <alignment horizontal="center" vertical="center"/>
    </xf>
    <xf numFmtId="0" fontId="13" fillId="0" borderId="0" xfId="2" applyFont="1" applyAlignment="1">
      <alignment vertical="center" wrapText="1"/>
    </xf>
    <xf numFmtId="165" fontId="13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3" fillId="0" borderId="0" xfId="2" applyFont="1" applyAlignment="1">
      <alignment vertical="center"/>
    </xf>
    <xf numFmtId="0" fontId="13" fillId="0" borderId="0" xfId="2" applyFont="1" applyAlignment="1">
      <alignment horizontal="center" vertical="center" wrapText="1"/>
    </xf>
    <xf numFmtId="0" fontId="5" fillId="0" borderId="0" xfId="2" applyFont="1"/>
    <xf numFmtId="164" fontId="5" fillId="0" borderId="0" xfId="2" applyNumberFormat="1" applyFont="1" applyAlignment="1">
      <alignment vertical="center"/>
    </xf>
    <xf numFmtId="164" fontId="5" fillId="0" borderId="0" xfId="2" applyNumberFormat="1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4" fillId="0" borderId="0" xfId="2" applyFont="1" applyAlignment="1">
      <alignment vertical="center" wrapText="1"/>
    </xf>
    <xf numFmtId="165" fontId="14" fillId="0" borderId="0" xfId="2" applyNumberFormat="1" applyFont="1" applyAlignment="1">
      <alignment vertical="center" wrapText="1"/>
    </xf>
    <xf numFmtId="0" fontId="5" fillId="0" borderId="0" xfId="2" applyFont="1" applyAlignment="1">
      <alignment vertical="center"/>
    </xf>
    <xf numFmtId="0" fontId="15" fillId="0" borderId="0" xfId="2" applyFont="1" applyAlignment="1">
      <alignment horizontal="center" vertical="center" wrapText="1"/>
    </xf>
    <xf numFmtId="165" fontId="14" fillId="0" borderId="0" xfId="2" applyNumberFormat="1" applyFont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165" fontId="14" fillId="0" borderId="0" xfId="2" applyNumberFormat="1" applyFont="1" applyAlignment="1">
      <alignment vertical="center"/>
    </xf>
    <xf numFmtId="0" fontId="12" fillId="0" borderId="0" xfId="2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8" fillId="0" borderId="0" xfId="2" applyFont="1" applyAlignment="1">
      <alignment horizontal="right" vertical="center" wrapText="1"/>
    </xf>
    <xf numFmtId="0" fontId="8" fillId="0" borderId="19" xfId="2" applyFont="1" applyBorder="1" applyAlignment="1">
      <alignment horizontal="right" vertical="center" wrapText="1"/>
    </xf>
    <xf numFmtId="0" fontId="9" fillId="0" borderId="20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12" fillId="0" borderId="0" xfId="2" applyFont="1" applyAlignment="1">
      <alignment horizontal="center"/>
    </xf>
    <xf numFmtId="0" fontId="12" fillId="4" borderId="20" xfId="2" applyFont="1" applyFill="1" applyBorder="1" applyAlignment="1">
      <alignment horizontal="center" vertical="center" wrapText="1"/>
    </xf>
    <xf numFmtId="0" fontId="12" fillId="4" borderId="21" xfId="2" applyFont="1" applyFill="1" applyBorder="1" applyAlignment="1">
      <alignment horizontal="center" vertical="center" wrapText="1"/>
    </xf>
    <xf numFmtId="0" fontId="12" fillId="4" borderId="22" xfId="2" applyFont="1" applyFill="1" applyBorder="1" applyAlignment="1">
      <alignment horizontal="center" vertical="center" wrapText="1"/>
    </xf>
    <xf numFmtId="164" fontId="13" fillId="2" borderId="23" xfId="2" applyNumberFormat="1" applyFont="1" applyFill="1" applyBorder="1" applyAlignment="1">
      <alignment horizontal="left" vertical="center"/>
    </xf>
    <xf numFmtId="164" fontId="13" fillId="2" borderId="24" xfId="2" applyNumberFormat="1" applyFont="1" applyFill="1" applyBorder="1" applyAlignment="1">
      <alignment horizontal="left" vertical="center"/>
    </xf>
    <xf numFmtId="0" fontId="14" fillId="0" borderId="24" xfId="2" applyFont="1" applyBorder="1" applyAlignment="1">
      <alignment horizontal="center" vertical="center" wrapText="1"/>
    </xf>
    <xf numFmtId="0" fontId="14" fillId="0" borderId="6" xfId="2" applyFont="1" applyBorder="1" applyAlignment="1">
      <alignment horizontal="center" vertical="center" wrapText="1"/>
    </xf>
    <xf numFmtId="0" fontId="8" fillId="0" borderId="0" xfId="2" applyFont="1" applyAlignment="1">
      <alignment horizontal="right"/>
    </xf>
    <xf numFmtId="14" fontId="9" fillId="0" borderId="18" xfId="2" applyNumberFormat="1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164" fontId="13" fillId="2" borderId="42" xfId="2" applyNumberFormat="1" applyFont="1" applyFill="1" applyBorder="1" applyAlignment="1">
      <alignment horizontal="left" vertical="center"/>
    </xf>
    <xf numFmtId="164" fontId="13" fillId="2" borderId="43" xfId="2" applyNumberFormat="1" applyFont="1" applyFill="1" applyBorder="1" applyAlignment="1">
      <alignment horizontal="left" vertical="center"/>
    </xf>
    <xf numFmtId="164" fontId="13" fillId="2" borderId="44" xfId="2" applyNumberFormat="1" applyFont="1" applyFill="1" applyBorder="1" applyAlignment="1">
      <alignment horizontal="left" vertical="center"/>
    </xf>
    <xf numFmtId="0" fontId="14" fillId="0" borderId="5" xfId="2" applyFont="1" applyBorder="1" applyAlignment="1">
      <alignment horizontal="center" vertical="center" wrapText="1"/>
    </xf>
    <xf numFmtId="0" fontId="14" fillId="0" borderId="43" xfId="2" applyFont="1" applyBorder="1" applyAlignment="1">
      <alignment horizontal="center" vertical="center" wrapText="1"/>
    </xf>
    <xf numFmtId="0" fontId="14" fillId="0" borderId="45" xfId="2" applyFont="1" applyBorder="1" applyAlignment="1">
      <alignment horizontal="center" vertical="center" wrapText="1"/>
    </xf>
    <xf numFmtId="164" fontId="13" fillId="2" borderId="25" xfId="2" applyNumberFormat="1" applyFont="1" applyFill="1" applyBorder="1" applyAlignment="1">
      <alignment horizontal="left" vertical="center"/>
    </xf>
    <xf numFmtId="164" fontId="13" fillId="2" borderId="26" xfId="2" applyNumberFormat="1" applyFont="1" applyFill="1" applyBorder="1" applyAlignment="1">
      <alignment horizontal="left" vertical="center"/>
    </xf>
    <xf numFmtId="0" fontId="14" fillId="0" borderId="27" xfId="2" applyFont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14" fillId="0" borderId="31" xfId="2" applyFont="1" applyBorder="1" applyAlignment="1">
      <alignment horizontal="center" vertical="center" wrapText="1"/>
    </xf>
    <xf numFmtId="0" fontId="14" fillId="0" borderId="32" xfId="2" applyFont="1" applyBorder="1" applyAlignment="1">
      <alignment horizontal="center" vertical="center" wrapText="1"/>
    </xf>
    <xf numFmtId="164" fontId="13" fillId="2" borderId="33" xfId="2" applyNumberFormat="1" applyFont="1" applyFill="1" applyBorder="1" applyAlignment="1">
      <alignment horizontal="left" vertical="center"/>
    </xf>
    <xf numFmtId="164" fontId="13" fillId="2" borderId="34" xfId="2" applyNumberFormat="1" applyFont="1" applyFill="1" applyBorder="1" applyAlignment="1">
      <alignment horizontal="left" vertical="center"/>
    </xf>
    <xf numFmtId="0" fontId="14" fillId="0" borderId="34" xfId="2" applyFont="1" applyBorder="1" applyAlignment="1">
      <alignment horizontal="center" vertical="center" wrapText="1"/>
    </xf>
    <xf numFmtId="0" fontId="14" fillId="0" borderId="17" xfId="2" applyFont="1" applyBorder="1" applyAlignment="1">
      <alignment horizontal="center" vertical="center" wrapText="1"/>
    </xf>
    <xf numFmtId="164" fontId="5" fillId="0" borderId="13" xfId="2" applyNumberFormat="1" applyFont="1" applyBorder="1" applyAlignment="1">
      <alignment horizontal="left" vertical="center"/>
    </xf>
    <xf numFmtId="0" fontId="15" fillId="2" borderId="23" xfId="2" applyFont="1" applyFill="1" applyBorder="1" applyAlignment="1">
      <alignment horizontal="center" vertical="center" wrapText="1"/>
    </xf>
    <xf numFmtId="0" fontId="15" fillId="2" borderId="24" xfId="2" applyFont="1" applyFill="1" applyBorder="1" applyAlignment="1">
      <alignment horizontal="center" vertical="center" wrapText="1"/>
    </xf>
    <xf numFmtId="165" fontId="14" fillId="0" borderId="24" xfId="2" applyNumberFormat="1" applyFont="1" applyBorder="1" applyAlignment="1">
      <alignment horizontal="center" vertical="center" wrapText="1"/>
    </xf>
    <xf numFmtId="165" fontId="14" fillId="0" borderId="6" xfId="2" applyNumberFormat="1" applyFont="1" applyBorder="1" applyAlignment="1">
      <alignment horizontal="center" vertical="center" wrapText="1"/>
    </xf>
    <xf numFmtId="0" fontId="15" fillId="2" borderId="35" xfId="2" applyFont="1" applyFill="1" applyBorder="1" applyAlignment="1">
      <alignment horizontal="center" vertical="center" wrapText="1"/>
    </xf>
    <xf numFmtId="0" fontId="15" fillId="2" borderId="36" xfId="2" applyFont="1" applyFill="1" applyBorder="1" applyAlignment="1">
      <alignment horizontal="center" vertical="center" wrapText="1"/>
    </xf>
    <xf numFmtId="165" fontId="14" fillId="0" borderId="16" xfId="2" applyNumberFormat="1" applyFont="1" applyBorder="1" applyAlignment="1">
      <alignment horizontal="center" vertical="center" wrapText="1"/>
    </xf>
    <xf numFmtId="165" fontId="14" fillId="0" borderId="37" xfId="2" applyNumberFormat="1" applyFont="1" applyBorder="1" applyAlignment="1">
      <alignment horizontal="center" vertical="center" wrapText="1"/>
    </xf>
    <xf numFmtId="165" fontId="14" fillId="0" borderId="38" xfId="2" applyNumberFormat="1" applyFont="1" applyBorder="1" applyAlignment="1">
      <alignment horizontal="center" vertical="center" wrapText="1"/>
    </xf>
    <xf numFmtId="0" fontId="15" fillId="3" borderId="39" xfId="2" applyFont="1" applyFill="1" applyBorder="1" applyAlignment="1">
      <alignment horizontal="center" vertical="center" wrapText="1"/>
    </xf>
    <xf numFmtId="0" fontId="15" fillId="3" borderId="40" xfId="2" applyFont="1" applyFill="1" applyBorder="1" applyAlignment="1">
      <alignment horizontal="center" vertical="center" wrapText="1"/>
    </xf>
    <xf numFmtId="165" fontId="14" fillId="0" borderId="40" xfId="2" applyNumberFormat="1" applyFont="1" applyBorder="1" applyAlignment="1">
      <alignment horizontal="center" vertical="center" wrapText="1"/>
    </xf>
    <xf numFmtId="165" fontId="14" fillId="0" borderId="41" xfId="2" applyNumberFormat="1" applyFont="1" applyBorder="1" applyAlignment="1">
      <alignment horizontal="center" vertical="center" wrapText="1"/>
    </xf>
    <xf numFmtId="164" fontId="13" fillId="2" borderId="23" xfId="2" applyNumberFormat="1" applyFont="1" applyFill="1" applyBorder="1" applyAlignment="1">
      <alignment horizontal="center" vertical="center"/>
    </xf>
    <xf numFmtId="164" fontId="13" fillId="2" borderId="24" xfId="2" applyNumberFormat="1" applyFont="1" applyFill="1" applyBorder="1" applyAlignment="1">
      <alignment horizontal="center" vertical="center"/>
    </xf>
    <xf numFmtId="164" fontId="13" fillId="2" borderId="5" xfId="2" applyNumberFormat="1" applyFont="1" applyFill="1" applyBorder="1" applyAlignment="1">
      <alignment horizontal="center" vertical="center"/>
    </xf>
    <xf numFmtId="165" fontId="14" fillId="0" borderId="23" xfId="2" applyNumberFormat="1" applyFont="1" applyBorder="1" applyAlignment="1">
      <alignment horizontal="center" vertical="center" wrapText="1"/>
    </xf>
    <xf numFmtId="164" fontId="13" fillId="2" borderId="46" xfId="2" applyNumberFormat="1" applyFont="1" applyFill="1" applyBorder="1" applyAlignment="1">
      <alignment horizontal="left" vertical="center"/>
    </xf>
    <xf numFmtId="164" fontId="13" fillId="2" borderId="37" xfId="2" applyNumberFormat="1" applyFont="1" applyFill="1" applyBorder="1" applyAlignment="1">
      <alignment horizontal="left" vertical="center"/>
    </xf>
    <xf numFmtId="164" fontId="13" fillId="2" borderId="47" xfId="2" applyNumberFormat="1" applyFont="1" applyFill="1" applyBorder="1" applyAlignment="1">
      <alignment horizontal="left" vertical="center"/>
    </xf>
    <xf numFmtId="0" fontId="14" fillId="0" borderId="16" xfId="2" applyFont="1" applyBorder="1" applyAlignment="1">
      <alignment horizontal="center" vertical="center" wrapText="1"/>
    </xf>
    <xf numFmtId="0" fontId="14" fillId="0" borderId="37" xfId="2" applyFont="1" applyBorder="1" applyAlignment="1">
      <alignment horizontal="center" vertical="center" wrapText="1"/>
    </xf>
    <xf numFmtId="0" fontId="14" fillId="0" borderId="38" xfId="2" applyFont="1" applyBorder="1" applyAlignment="1">
      <alignment horizontal="center" vertical="center" wrapText="1"/>
    </xf>
    <xf numFmtId="0" fontId="15" fillId="2" borderId="42" xfId="2" applyFont="1" applyFill="1" applyBorder="1" applyAlignment="1">
      <alignment horizontal="center" vertical="center" wrapText="1"/>
    </xf>
    <xf numFmtId="0" fontId="15" fillId="2" borderId="43" xfId="2" applyFont="1" applyFill="1" applyBorder="1" applyAlignment="1">
      <alignment horizontal="center" vertical="center" wrapText="1"/>
    </xf>
    <xf numFmtId="0" fontId="15" fillId="2" borderId="44" xfId="2" applyFont="1" applyFill="1" applyBorder="1" applyAlignment="1">
      <alignment horizontal="center" vertical="center" wrapText="1"/>
    </xf>
    <xf numFmtId="165" fontId="14" fillId="0" borderId="5" xfId="2" applyNumberFormat="1" applyFont="1" applyBorder="1" applyAlignment="1">
      <alignment horizontal="center" vertical="center" wrapText="1"/>
    </xf>
    <xf numFmtId="165" fontId="14" fillId="0" borderId="43" xfId="2" applyNumberFormat="1" applyFont="1" applyBorder="1" applyAlignment="1">
      <alignment horizontal="center" vertical="center" wrapText="1"/>
    </xf>
    <xf numFmtId="165" fontId="14" fillId="0" borderId="45" xfId="2" applyNumberFormat="1" applyFont="1" applyBorder="1" applyAlignment="1">
      <alignment horizontal="center" vertical="center" wrapText="1"/>
    </xf>
    <xf numFmtId="0" fontId="15" fillId="2" borderId="46" xfId="2" applyFont="1" applyFill="1" applyBorder="1" applyAlignment="1">
      <alignment horizontal="center" vertical="center" wrapText="1"/>
    </xf>
    <xf numFmtId="0" fontId="15" fillId="2" borderId="37" xfId="2" applyFont="1" applyFill="1" applyBorder="1" applyAlignment="1">
      <alignment horizontal="center" vertical="center" wrapText="1"/>
    </xf>
    <xf numFmtId="0" fontId="15" fillId="2" borderId="47" xfId="2" applyFont="1" applyFill="1" applyBorder="1" applyAlignment="1">
      <alignment horizontal="center" vertical="center" wrapText="1"/>
    </xf>
    <xf numFmtId="0" fontId="15" fillId="3" borderId="20" xfId="2" applyFont="1" applyFill="1" applyBorder="1" applyAlignment="1">
      <alignment horizontal="center" vertical="center" wrapText="1"/>
    </xf>
    <xf numFmtId="0" fontId="15" fillId="3" borderId="21" xfId="2" applyFont="1" applyFill="1" applyBorder="1" applyAlignment="1">
      <alignment horizontal="center" vertical="center" wrapText="1"/>
    </xf>
    <xf numFmtId="0" fontId="15" fillId="3" borderId="48" xfId="2" applyFont="1" applyFill="1" applyBorder="1" applyAlignment="1">
      <alignment horizontal="center" vertical="center" wrapText="1"/>
    </xf>
    <xf numFmtId="165" fontId="14" fillId="0" borderId="49" xfId="2" applyNumberFormat="1" applyFont="1" applyBorder="1" applyAlignment="1">
      <alignment horizontal="center" vertical="center" wrapText="1"/>
    </xf>
    <xf numFmtId="165" fontId="14" fillId="0" borderId="21" xfId="2" applyNumberFormat="1" applyFont="1" applyBorder="1" applyAlignment="1">
      <alignment horizontal="center" vertical="center" wrapText="1"/>
    </xf>
    <xf numFmtId="165" fontId="14" fillId="0" borderId="22" xfId="2" applyNumberFormat="1" applyFont="1" applyBorder="1" applyAlignment="1">
      <alignment horizontal="center" vertical="center" wrapText="1"/>
    </xf>
    <xf numFmtId="0" fontId="13" fillId="3" borderId="50" xfId="2" applyFont="1" applyFill="1" applyBorder="1" applyAlignment="1">
      <alignment horizontal="center" vertical="center" wrapText="1"/>
    </xf>
    <xf numFmtId="0" fontId="13" fillId="3" borderId="51" xfId="2" applyFont="1" applyFill="1" applyBorder="1" applyAlignment="1">
      <alignment horizontal="center" vertical="center" wrapText="1"/>
    </xf>
    <xf numFmtId="0" fontId="13" fillId="3" borderId="52" xfId="2" applyFont="1" applyFill="1" applyBorder="1" applyAlignment="1">
      <alignment horizontal="center" vertical="center" wrapText="1"/>
    </xf>
    <xf numFmtId="164" fontId="13" fillId="2" borderId="25" xfId="2" applyNumberFormat="1" applyFont="1" applyFill="1" applyBorder="1" applyAlignment="1">
      <alignment horizontal="center" vertical="center"/>
    </xf>
    <xf numFmtId="164" fontId="13" fillId="2" borderId="26" xfId="2" applyNumberFormat="1" applyFont="1" applyFill="1" applyBorder="1" applyAlignment="1">
      <alignment horizontal="center" vertical="center"/>
    </xf>
    <xf numFmtId="164" fontId="13" fillId="2" borderId="10" xfId="2" applyNumberFormat="1" applyFont="1" applyFill="1" applyBorder="1" applyAlignment="1">
      <alignment horizontal="center" vertical="center"/>
    </xf>
    <xf numFmtId="165" fontId="14" fillId="0" borderId="25" xfId="2" applyNumberFormat="1" applyFont="1" applyBorder="1" applyAlignment="1">
      <alignment horizontal="center" vertical="center" wrapText="1"/>
    </xf>
    <xf numFmtId="165" fontId="14" fillId="0" borderId="26" xfId="2" applyNumberFormat="1" applyFont="1" applyBorder="1" applyAlignment="1">
      <alignment horizontal="center" vertical="center" wrapText="1"/>
    </xf>
    <xf numFmtId="165" fontId="14" fillId="0" borderId="11" xfId="2" applyNumberFormat="1" applyFont="1" applyBorder="1" applyAlignment="1">
      <alignment horizontal="center" vertical="center" wrapText="1"/>
    </xf>
    <xf numFmtId="164" fontId="13" fillId="2" borderId="33" xfId="2" applyNumberFormat="1" applyFont="1" applyFill="1" applyBorder="1" applyAlignment="1">
      <alignment horizontal="center" vertical="center"/>
    </xf>
    <xf numFmtId="164" fontId="13" fillId="2" borderId="34" xfId="2" applyNumberFormat="1" applyFont="1" applyFill="1" applyBorder="1" applyAlignment="1">
      <alignment horizontal="center" vertical="center"/>
    </xf>
    <xf numFmtId="164" fontId="13" fillId="2" borderId="16" xfId="2" applyNumberFormat="1" applyFont="1" applyFill="1" applyBorder="1" applyAlignment="1">
      <alignment horizontal="center" vertical="center"/>
    </xf>
    <xf numFmtId="165" fontId="14" fillId="0" borderId="33" xfId="2" applyNumberFormat="1" applyFont="1" applyBorder="1" applyAlignment="1">
      <alignment horizontal="center" vertical="center" wrapText="1"/>
    </xf>
    <xf numFmtId="165" fontId="14" fillId="0" borderId="34" xfId="2" applyNumberFormat="1" applyFont="1" applyBorder="1" applyAlignment="1">
      <alignment horizontal="center" vertical="center" wrapText="1"/>
    </xf>
    <xf numFmtId="165" fontId="14" fillId="0" borderId="17" xfId="2" applyNumberFormat="1" applyFont="1" applyBorder="1" applyAlignment="1">
      <alignment horizontal="center" vertical="center" wrapText="1"/>
    </xf>
    <xf numFmtId="0" fontId="2" fillId="0" borderId="27" xfId="2" applyBorder="1" applyAlignment="1">
      <alignment horizontal="center"/>
    </xf>
    <xf numFmtId="0" fontId="2" fillId="0" borderId="28" xfId="2" applyBorder="1" applyAlignment="1">
      <alignment horizontal="center"/>
    </xf>
    <xf numFmtId="0" fontId="2" fillId="0" borderId="53" xfId="2" applyBorder="1" applyAlignment="1">
      <alignment horizontal="center"/>
    </xf>
    <xf numFmtId="0" fontId="2" fillId="0" borderId="9" xfId="2" applyBorder="1" applyAlignment="1">
      <alignment horizontal="center"/>
    </xf>
    <xf numFmtId="0" fontId="2" fillId="0" borderId="0" xfId="2" applyAlignment="1">
      <alignment horizontal="center"/>
    </xf>
    <xf numFmtId="0" fontId="2" fillId="0" borderId="8" xfId="2" applyBorder="1" applyAlignment="1">
      <alignment horizontal="center"/>
    </xf>
    <xf numFmtId="0" fontId="2" fillId="0" borderId="30" xfId="2" applyBorder="1" applyAlignment="1">
      <alignment horizontal="center"/>
    </xf>
    <xf numFmtId="0" fontId="2" fillId="0" borderId="31" xfId="2" applyBorder="1" applyAlignment="1">
      <alignment horizontal="center"/>
    </xf>
    <xf numFmtId="0" fontId="2" fillId="0" borderId="54" xfId="2" applyBorder="1" applyAlignment="1">
      <alignment horizontal="center"/>
    </xf>
    <xf numFmtId="0" fontId="8" fillId="0" borderId="0" xfId="2" applyFont="1" applyAlignment="1">
      <alignment horizontal="center" vertical="center"/>
    </xf>
    <xf numFmtId="164" fontId="13" fillId="2" borderId="39" xfId="2" applyNumberFormat="1" applyFont="1" applyFill="1" applyBorder="1" applyAlignment="1">
      <alignment horizontal="center" vertical="center"/>
    </xf>
    <xf numFmtId="164" fontId="13" fillId="2" borderId="40" xfId="2" applyNumberFormat="1" applyFont="1" applyFill="1" applyBorder="1" applyAlignment="1">
      <alignment horizontal="center" vertical="center"/>
    </xf>
    <xf numFmtId="164" fontId="13" fillId="2" borderId="49" xfId="2" applyNumberFormat="1" applyFont="1" applyFill="1" applyBorder="1" applyAlignment="1">
      <alignment horizontal="center" vertical="center"/>
    </xf>
    <xf numFmtId="9" fontId="16" fillId="0" borderId="20" xfId="1" applyFont="1" applyBorder="1" applyAlignment="1">
      <alignment horizontal="center" vertical="center" wrapText="1"/>
    </xf>
    <xf numFmtId="9" fontId="16" fillId="0" borderId="21" xfId="1" applyFont="1" applyBorder="1" applyAlignment="1">
      <alignment horizontal="center" vertical="center" wrapText="1"/>
    </xf>
    <xf numFmtId="9" fontId="16" fillId="0" borderId="22" xfId="1" applyFont="1" applyBorder="1" applyAlignment="1">
      <alignment horizontal="center" vertical="center" wrapText="1"/>
    </xf>
  </cellXfs>
  <cellStyles count="4">
    <cellStyle name="Normal" xfId="0" builtinId="0"/>
    <cellStyle name="Normal 2 2" xfId="3" xr:uid="{8980110C-B12A-4373-8601-6032449BA140}"/>
    <cellStyle name="Normal 4" xfId="2" xr:uid="{08F3125D-8F08-4F7A-A108-EF7E34CDCE8A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37</xdr:row>
      <xdr:rowOff>0</xdr:rowOff>
    </xdr:from>
    <xdr:to>
      <xdr:col>12</xdr:col>
      <xdr:colOff>304800</xdr:colOff>
      <xdr:row>38</xdr:row>
      <xdr:rowOff>120650</xdr:rowOff>
    </xdr:to>
    <xdr:sp macro="" textlink="">
      <xdr:nvSpPr>
        <xdr:cNvPr id="2" name="AutoShape 1" descr="blob:https://web.whatsapp.com/482445af-8712-4cc9-acfa-a5211fff9ddb">
          <a:extLst>
            <a:ext uri="{FF2B5EF4-FFF2-40B4-BE49-F238E27FC236}">
              <a16:creationId xmlns:a16="http://schemas.microsoft.com/office/drawing/2014/main" id="{B9E44D85-2AB1-44AE-8F90-99F402318180}"/>
            </a:ext>
          </a:extLst>
        </xdr:cNvPr>
        <xdr:cNvSpPr>
          <a:spLocks noChangeAspect="1" noChangeArrowheads="1"/>
        </xdr:cNvSpPr>
      </xdr:nvSpPr>
      <xdr:spPr bwMode="auto">
        <a:xfrm>
          <a:off x="6419850" y="68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171450</xdr:colOff>
      <xdr:row>0</xdr:row>
      <xdr:rowOff>82550</xdr:rowOff>
    </xdr:from>
    <xdr:to>
      <xdr:col>2</xdr:col>
      <xdr:colOff>283699</xdr:colOff>
      <xdr:row>2</xdr:row>
      <xdr:rowOff>69850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4A59C7-9ED4-4014-8507-1D467AE04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82550"/>
          <a:ext cx="1413999" cy="355600"/>
        </a:xfrm>
        <a:prstGeom prst="rect">
          <a:avLst/>
        </a:prstGeom>
      </xdr:spPr>
    </xdr:pic>
    <xdr:clientData/>
  </xdr:twoCellAnchor>
  <xdr:twoCellAnchor editAs="oneCell">
    <xdr:from>
      <xdr:col>11</xdr:col>
      <xdr:colOff>44450</xdr:colOff>
      <xdr:row>44</xdr:row>
      <xdr:rowOff>44449</xdr:rowOff>
    </xdr:from>
    <xdr:to>
      <xdr:col>13</xdr:col>
      <xdr:colOff>692150</xdr:colOff>
      <xdr:row>46</xdr:row>
      <xdr:rowOff>158750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4586579-1CD2-4C77-BC90-A96D8E484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8950" y="8337549"/>
          <a:ext cx="2171700" cy="482601"/>
        </a:xfrm>
        <a:prstGeom prst="rect">
          <a:avLst/>
        </a:prstGeom>
      </xdr:spPr>
    </xdr:pic>
    <xdr:clientData/>
  </xdr:twoCellAnchor>
  <xdr:twoCellAnchor editAs="oneCell">
    <xdr:from>
      <xdr:col>9</xdr:col>
      <xdr:colOff>146051</xdr:colOff>
      <xdr:row>43</xdr:row>
      <xdr:rowOff>76200</xdr:rowOff>
    </xdr:from>
    <xdr:to>
      <xdr:col>11</xdr:col>
      <xdr:colOff>215901</xdr:colOff>
      <xdr:row>44</xdr:row>
      <xdr:rowOff>107636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9C6DAB0-1477-4DD7-B231-83BAA8683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7951" y="7816850"/>
          <a:ext cx="857250" cy="215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E0E3-3D35-4B39-AD84-C6E2A2BCCD2B}">
  <dimension ref="A1:T49"/>
  <sheetViews>
    <sheetView tabSelected="1" zoomScaleNormal="100" workbookViewId="0">
      <selection activeCell="M7" sqref="M7"/>
    </sheetView>
  </sheetViews>
  <sheetFormatPr baseColWidth="10" defaultRowHeight="14.25"/>
  <cols>
    <col min="1" max="1" width="7.75" customWidth="1"/>
    <col min="3" max="3" width="7.375" customWidth="1"/>
    <col min="6" max="6" width="3.125" customWidth="1"/>
    <col min="7" max="11" width="5.625" customWidth="1"/>
  </cols>
  <sheetData>
    <row r="1" spans="1:20">
      <c r="A1" s="48"/>
      <c r="B1" s="49"/>
      <c r="C1" s="50"/>
      <c r="D1" s="57" t="s">
        <v>0</v>
      </c>
      <c r="E1" s="58"/>
      <c r="F1" s="58"/>
      <c r="G1" s="58"/>
      <c r="H1" s="58"/>
      <c r="I1" s="58"/>
      <c r="J1" s="58"/>
      <c r="K1" s="59"/>
      <c r="L1" s="66" t="s">
        <v>1</v>
      </c>
      <c r="M1" s="66"/>
      <c r="N1" s="1" t="s">
        <v>2</v>
      </c>
    </row>
    <row r="2" spans="1:20">
      <c r="A2" s="51"/>
      <c r="B2" s="52"/>
      <c r="C2" s="53"/>
      <c r="D2" s="60"/>
      <c r="E2" s="61"/>
      <c r="F2" s="61"/>
      <c r="G2" s="61"/>
      <c r="H2" s="61"/>
      <c r="I2" s="61"/>
      <c r="J2" s="61"/>
      <c r="K2" s="62"/>
      <c r="L2" s="67" t="s">
        <v>3</v>
      </c>
      <c r="M2" s="67"/>
      <c r="N2" s="2" t="s">
        <v>4</v>
      </c>
    </row>
    <row r="3" spans="1:20" ht="15" thickBot="1">
      <c r="A3" s="54"/>
      <c r="B3" s="55"/>
      <c r="C3" s="56"/>
      <c r="D3" s="63"/>
      <c r="E3" s="64"/>
      <c r="F3" s="64"/>
      <c r="G3" s="64"/>
      <c r="H3" s="64"/>
      <c r="I3" s="64"/>
      <c r="J3" s="64"/>
      <c r="K3" s="65"/>
      <c r="L3" s="68" t="s">
        <v>5</v>
      </c>
      <c r="M3" s="68"/>
      <c r="N3" s="3" t="s">
        <v>6</v>
      </c>
    </row>
    <row r="4" spans="1:20" ht="18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1:20">
      <c r="A5" s="45" t="s">
        <v>7</v>
      </c>
      <c r="B5" s="45"/>
      <c r="C5" s="45"/>
      <c r="D5" s="45"/>
      <c r="E5" s="46">
        <f ca="1">TODAY()</f>
        <v>46230</v>
      </c>
      <c r="F5" s="47"/>
      <c r="G5" s="47"/>
      <c r="H5" s="47"/>
      <c r="I5" s="47"/>
      <c r="J5" s="47"/>
      <c r="K5" s="47"/>
      <c r="L5" s="7"/>
      <c r="M5" s="7"/>
      <c r="N5" s="7"/>
    </row>
    <row r="6" spans="1:20" ht="15.75" thickBot="1">
      <c r="A6" s="8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"/>
    </row>
    <row r="7" spans="1:20" ht="15" thickBot="1">
      <c r="A7" s="32" t="s">
        <v>8</v>
      </c>
      <c r="B7" s="32"/>
      <c r="C7" s="32"/>
      <c r="D7" s="33"/>
      <c r="E7" s="34" t="s">
        <v>28</v>
      </c>
      <c r="F7" s="35"/>
      <c r="G7" s="35"/>
      <c r="H7" s="35"/>
      <c r="I7" s="35"/>
      <c r="J7" s="35"/>
      <c r="K7" s="36"/>
      <c r="L7" s="11"/>
      <c r="M7" s="11"/>
    </row>
    <row r="8" spans="1:20" ht="7.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</row>
    <row r="9" spans="1:20" ht="8.4499999999999993" customHeight="1" thickBo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20" ht="15" thickBot="1">
      <c r="A10" s="13"/>
      <c r="B10" s="14"/>
      <c r="C10" s="38" t="s">
        <v>9</v>
      </c>
      <c r="D10" s="39"/>
      <c r="E10" s="40"/>
      <c r="F10" s="14"/>
      <c r="G10" s="14"/>
      <c r="H10" s="14"/>
      <c r="I10" s="14"/>
      <c r="J10" s="14"/>
      <c r="K10" s="14"/>
      <c r="L10" s="14"/>
      <c r="M10" s="14"/>
      <c r="N10" s="11"/>
      <c r="O10" s="31"/>
      <c r="P10" s="31"/>
      <c r="Q10" s="31"/>
      <c r="R10" s="31"/>
      <c r="S10" s="31"/>
      <c r="T10" s="31"/>
    </row>
    <row r="11" spans="1:20" ht="15" thickBot="1">
      <c r="A11" s="16"/>
      <c r="B11" s="17"/>
      <c r="C11" s="17"/>
      <c r="D11" s="17"/>
      <c r="E11" s="17"/>
      <c r="F11" s="17"/>
      <c r="G11" s="16"/>
      <c r="H11" s="16"/>
      <c r="I11" s="16"/>
      <c r="J11" s="16"/>
      <c r="K11" s="16"/>
      <c r="L11" s="18"/>
      <c r="M11" s="18"/>
      <c r="N11" s="18"/>
    </row>
    <row r="12" spans="1:20">
      <c r="A12" s="19"/>
      <c r="B12" s="20"/>
      <c r="C12" s="41" t="s">
        <v>10</v>
      </c>
      <c r="D12" s="42"/>
      <c r="E12" s="42"/>
      <c r="F12" s="42"/>
      <c r="G12" s="43" t="str">
        <f ca="1">TEXT(E5,"MMMM")</f>
        <v>Julio</v>
      </c>
      <c r="H12" s="43"/>
      <c r="I12" s="43"/>
      <c r="J12" s="43"/>
      <c r="K12" s="43"/>
      <c r="L12" s="44"/>
      <c r="M12" s="19"/>
      <c r="N12" s="19"/>
    </row>
    <row r="13" spans="1:20" ht="18" customHeight="1">
      <c r="A13" s="21"/>
      <c r="B13" s="21"/>
      <c r="C13" s="75" t="s">
        <v>11</v>
      </c>
      <c r="D13" s="76"/>
      <c r="E13" s="76"/>
      <c r="F13" s="76"/>
      <c r="G13" s="77" t="s">
        <v>31</v>
      </c>
      <c r="H13" s="78"/>
      <c r="I13" s="78"/>
      <c r="J13" s="78"/>
      <c r="K13" s="78"/>
      <c r="L13" s="79"/>
      <c r="M13" s="19"/>
    </row>
    <row r="14" spans="1:20" ht="18" customHeight="1">
      <c r="A14" s="21"/>
      <c r="B14" s="21"/>
      <c r="C14" s="75"/>
      <c r="D14" s="76"/>
      <c r="E14" s="76"/>
      <c r="F14" s="76"/>
      <c r="G14" s="80"/>
      <c r="H14" s="81"/>
      <c r="I14" s="81"/>
      <c r="J14" s="81"/>
      <c r="K14" s="81"/>
      <c r="L14" s="82"/>
      <c r="M14" s="19"/>
      <c r="N14" s="19" t="str">
        <f>LOWER(N12)</f>
        <v/>
      </c>
    </row>
    <row r="15" spans="1:20" ht="36" customHeight="1" thickBot="1">
      <c r="A15" s="19"/>
      <c r="B15" s="20"/>
      <c r="C15" s="83" t="s">
        <v>12</v>
      </c>
      <c r="D15" s="84"/>
      <c r="E15" s="84"/>
      <c r="F15" s="84"/>
      <c r="G15" s="85" t="s">
        <v>29</v>
      </c>
      <c r="H15" s="85"/>
      <c r="I15" s="85"/>
      <c r="J15" s="85"/>
      <c r="K15" s="85"/>
      <c r="L15" s="86"/>
      <c r="M15" s="19"/>
      <c r="N15" s="19"/>
    </row>
    <row r="16" spans="1:20" ht="15" thickBot="1">
      <c r="A16" s="21"/>
      <c r="B16" s="21"/>
      <c r="C16" s="21"/>
      <c r="D16" s="87"/>
      <c r="E16" s="87"/>
      <c r="F16" s="87"/>
      <c r="G16" s="87"/>
      <c r="H16" s="87"/>
      <c r="I16" s="87"/>
      <c r="J16" s="87"/>
      <c r="K16" s="87"/>
      <c r="L16" s="22"/>
      <c r="M16" s="22"/>
      <c r="N16" s="19"/>
    </row>
    <row r="17" spans="1:14">
      <c r="A17" s="19"/>
      <c r="B17" s="23"/>
      <c r="C17" s="23"/>
      <c r="D17" s="88" t="s">
        <v>13</v>
      </c>
      <c r="E17" s="89"/>
      <c r="F17" s="89"/>
      <c r="G17" s="90">
        <v>755</v>
      </c>
      <c r="H17" s="90"/>
      <c r="I17" s="90"/>
      <c r="J17" s="90"/>
      <c r="K17" s="91"/>
      <c r="L17" s="24"/>
      <c r="M17" s="24"/>
      <c r="N17" s="25"/>
    </row>
    <row r="18" spans="1:14" ht="15" thickBot="1">
      <c r="A18" s="20"/>
      <c r="B18" s="20"/>
      <c r="C18" s="20"/>
      <c r="D18" s="92" t="s">
        <v>14</v>
      </c>
      <c r="E18" s="93"/>
      <c r="F18" s="93"/>
      <c r="G18" s="94">
        <f>G17*18%</f>
        <v>135.9</v>
      </c>
      <c r="H18" s="95"/>
      <c r="I18" s="95"/>
      <c r="J18" s="95"/>
      <c r="K18" s="96"/>
      <c r="L18" s="25"/>
      <c r="M18" s="25"/>
      <c r="N18" s="25"/>
    </row>
    <row r="19" spans="1:14" ht="15" thickBot="1">
      <c r="A19" s="20"/>
      <c r="B19" s="20"/>
      <c r="C19" s="20"/>
      <c r="D19" s="97" t="s">
        <v>15</v>
      </c>
      <c r="E19" s="98"/>
      <c r="F19" s="98"/>
      <c r="G19" s="99">
        <f>SUM(G17:K18)</f>
        <v>890.9</v>
      </c>
      <c r="H19" s="99"/>
      <c r="I19" s="99"/>
      <c r="J19" s="99"/>
      <c r="K19" s="100"/>
      <c r="L19" s="25"/>
      <c r="M19" s="25"/>
      <c r="N19" s="25"/>
    </row>
    <row r="20" spans="1:14">
      <c r="A20" s="20"/>
      <c r="B20" s="20"/>
      <c r="C20" s="20"/>
      <c r="D20" s="26"/>
      <c r="E20" s="26"/>
      <c r="F20" s="26"/>
      <c r="G20" s="27"/>
      <c r="H20" s="27"/>
      <c r="I20" s="27"/>
      <c r="J20" s="27"/>
      <c r="K20" s="27"/>
      <c r="L20" s="25"/>
      <c r="M20" s="25"/>
      <c r="N20" s="25"/>
    </row>
    <row r="21" spans="1:14" ht="15" thickBot="1">
      <c r="A21" s="20"/>
      <c r="B21" s="20"/>
      <c r="C21" s="20"/>
      <c r="D21" s="26"/>
      <c r="E21" s="26"/>
      <c r="F21" s="26"/>
      <c r="G21" s="27"/>
      <c r="H21" s="27"/>
      <c r="I21" s="27"/>
      <c r="J21" s="27"/>
      <c r="K21" s="27"/>
      <c r="L21" s="25"/>
      <c r="M21" s="25"/>
      <c r="N21" s="25"/>
    </row>
    <row r="22" spans="1:14" ht="15" thickBot="1">
      <c r="A22" s="13"/>
      <c r="B22" s="14"/>
      <c r="C22" s="38" t="s">
        <v>16</v>
      </c>
      <c r="D22" s="39"/>
      <c r="E22" s="40"/>
      <c r="F22" s="14"/>
      <c r="G22" s="14"/>
      <c r="H22" s="14"/>
      <c r="I22" s="14"/>
      <c r="J22" s="14"/>
      <c r="K22" s="14"/>
      <c r="L22" s="14"/>
      <c r="M22" s="14"/>
      <c r="N22" s="15"/>
    </row>
    <row r="23" spans="1:14" ht="15" thickBo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5"/>
    </row>
    <row r="24" spans="1:14">
      <c r="A24" s="19"/>
      <c r="B24" s="20"/>
      <c r="C24" s="69" t="s">
        <v>17</v>
      </c>
      <c r="D24" s="70"/>
      <c r="E24" s="70"/>
      <c r="F24" s="71"/>
      <c r="G24" s="72" t="s">
        <v>30</v>
      </c>
      <c r="H24" s="73"/>
      <c r="I24" s="73"/>
      <c r="J24" s="73"/>
      <c r="K24" s="73"/>
      <c r="L24" s="74"/>
      <c r="M24" s="28"/>
      <c r="N24" s="22"/>
    </row>
    <row r="25" spans="1:14" ht="15" thickBot="1">
      <c r="A25" s="19"/>
      <c r="B25" s="20"/>
      <c r="C25" s="105" t="s">
        <v>18</v>
      </c>
      <c r="D25" s="106"/>
      <c r="E25" s="106"/>
      <c r="F25" s="107"/>
      <c r="G25" s="108" t="s">
        <v>32</v>
      </c>
      <c r="H25" s="109"/>
      <c r="I25" s="109"/>
      <c r="J25" s="109"/>
      <c r="K25" s="109"/>
      <c r="L25" s="110"/>
      <c r="M25" s="28"/>
      <c r="N25" s="22"/>
    </row>
    <row r="26" spans="1:14" ht="15" thickBot="1">
      <c r="A26" s="21"/>
      <c r="B26" s="21"/>
      <c r="C26" s="21"/>
      <c r="D26" s="21"/>
      <c r="E26" s="28"/>
      <c r="F26" s="28"/>
      <c r="G26" s="28"/>
      <c r="H26" s="28"/>
      <c r="I26" s="28"/>
      <c r="J26" s="28"/>
      <c r="K26" s="22"/>
      <c r="L26" s="22"/>
      <c r="M26" s="22"/>
      <c r="N26" s="22"/>
    </row>
    <row r="27" spans="1:14">
      <c r="A27" s="19"/>
      <c r="B27" s="23"/>
      <c r="C27" s="23"/>
      <c r="D27" s="111" t="s">
        <v>13</v>
      </c>
      <c r="E27" s="112"/>
      <c r="F27" s="113"/>
      <c r="G27" s="114">
        <v>1029.4100000000001</v>
      </c>
      <c r="H27" s="115"/>
      <c r="I27" s="115"/>
      <c r="J27" s="115"/>
      <c r="K27" s="116"/>
      <c r="L27" s="24"/>
      <c r="M27" s="29"/>
      <c r="N27" s="25"/>
    </row>
    <row r="28" spans="1:14" ht="15" thickBot="1">
      <c r="A28" s="20"/>
      <c r="B28" s="20"/>
      <c r="C28" s="20"/>
      <c r="D28" s="117" t="s">
        <v>14</v>
      </c>
      <c r="E28" s="118"/>
      <c r="F28" s="119"/>
      <c r="G28" s="94">
        <f>G27*18%</f>
        <v>185.2938</v>
      </c>
      <c r="H28" s="95"/>
      <c r="I28" s="95"/>
      <c r="J28" s="95"/>
      <c r="K28" s="96"/>
      <c r="L28" s="25"/>
      <c r="M28" s="25"/>
      <c r="N28" s="25"/>
    </row>
    <row r="29" spans="1:14" ht="15" thickBot="1">
      <c r="A29" s="20"/>
      <c r="B29" s="20"/>
      <c r="C29" s="20"/>
      <c r="D29" s="120" t="s">
        <v>19</v>
      </c>
      <c r="E29" s="121"/>
      <c r="F29" s="122"/>
      <c r="G29" s="123">
        <f>SUM(G27:K28)</f>
        <v>1214.7038</v>
      </c>
      <c r="H29" s="124"/>
      <c r="I29" s="124"/>
      <c r="J29" s="124"/>
      <c r="K29" s="125"/>
      <c r="L29" s="25"/>
      <c r="M29" s="25"/>
      <c r="N29" s="25"/>
    </row>
    <row r="30" spans="1:14">
      <c r="A30" s="21"/>
      <c r="B30" s="21"/>
      <c r="C30" s="21"/>
      <c r="D30" s="21"/>
      <c r="E30" s="28"/>
      <c r="F30" s="28"/>
      <c r="G30" s="28"/>
      <c r="H30" s="28"/>
      <c r="I30" s="28"/>
      <c r="J30" s="28"/>
      <c r="K30" s="22"/>
      <c r="L30" s="22"/>
      <c r="M30" s="22"/>
      <c r="N30" s="22"/>
    </row>
    <row r="31" spans="1:14" ht="15" thickBot="1">
      <c r="A31" s="21"/>
      <c r="B31" s="21"/>
      <c r="C31" s="21"/>
      <c r="D31" s="21"/>
      <c r="E31" s="28"/>
      <c r="F31" s="28"/>
      <c r="G31" s="28"/>
      <c r="H31" s="28"/>
      <c r="I31" s="28"/>
      <c r="J31" s="28"/>
      <c r="K31" s="22"/>
      <c r="L31" s="22"/>
      <c r="M31" s="22"/>
      <c r="N31" s="22"/>
    </row>
    <row r="32" spans="1:14" ht="15" thickBot="1">
      <c r="A32" s="13"/>
      <c r="B32" s="14"/>
      <c r="C32" s="38" t="s">
        <v>20</v>
      </c>
      <c r="D32" s="39"/>
      <c r="E32" s="40"/>
      <c r="F32" s="14"/>
      <c r="G32" s="14"/>
      <c r="H32" s="14"/>
      <c r="I32" s="14"/>
      <c r="J32" s="14"/>
      <c r="K32" s="14"/>
      <c r="L32" s="14"/>
      <c r="M32" s="14"/>
      <c r="N32" s="15"/>
    </row>
    <row r="33" spans="1:14" ht="15" thickBot="1">
      <c r="A33" s="13"/>
      <c r="B33" s="14"/>
      <c r="C33" s="30"/>
      <c r="D33" s="30"/>
      <c r="E33" s="30"/>
      <c r="F33" s="14"/>
      <c r="G33" s="14"/>
      <c r="H33" s="14"/>
      <c r="I33" s="14"/>
      <c r="J33" s="14"/>
      <c r="K33" s="14"/>
      <c r="L33" s="14"/>
      <c r="M33" s="14"/>
      <c r="N33" s="15"/>
    </row>
    <row r="34" spans="1:14" ht="15" thickBot="1">
      <c r="A34" s="13"/>
      <c r="B34" s="14"/>
      <c r="C34" s="14"/>
      <c r="D34" s="14"/>
      <c r="E34" s="14"/>
      <c r="F34" s="14"/>
      <c r="G34" s="126" t="s">
        <v>21</v>
      </c>
      <c r="H34" s="127"/>
      <c r="I34" s="127"/>
      <c r="J34" s="127" t="s">
        <v>22</v>
      </c>
      <c r="K34" s="127"/>
      <c r="L34" s="128"/>
      <c r="M34" s="15"/>
      <c r="N34" s="15"/>
    </row>
    <row r="35" spans="1:14">
      <c r="A35" s="19"/>
      <c r="B35" s="20"/>
      <c r="C35" s="101" t="s">
        <v>23</v>
      </c>
      <c r="D35" s="102"/>
      <c r="E35" s="102"/>
      <c r="F35" s="103"/>
      <c r="G35" s="104">
        <f>G27</f>
        <v>1029.4100000000001</v>
      </c>
      <c r="H35" s="90"/>
      <c r="I35" s="90"/>
      <c r="J35" s="90">
        <f>G29</f>
        <v>1214.7038</v>
      </c>
      <c r="K35" s="90"/>
      <c r="L35" s="91"/>
      <c r="M35" s="22"/>
      <c r="N35" s="22"/>
    </row>
    <row r="36" spans="1:14">
      <c r="A36" s="19"/>
      <c r="B36" s="20"/>
      <c r="C36" s="129" t="s">
        <v>24</v>
      </c>
      <c r="D36" s="130"/>
      <c r="E36" s="130"/>
      <c r="F36" s="131"/>
      <c r="G36" s="132">
        <f>G17</f>
        <v>755</v>
      </c>
      <c r="H36" s="133"/>
      <c r="I36" s="133"/>
      <c r="J36" s="133">
        <f>G19</f>
        <v>890.9</v>
      </c>
      <c r="K36" s="133"/>
      <c r="L36" s="134"/>
      <c r="M36" s="22"/>
      <c r="N36" s="22"/>
    </row>
    <row r="37" spans="1:14" ht="15" thickBot="1">
      <c r="A37" s="19"/>
      <c r="B37" s="20"/>
      <c r="C37" s="135" t="s">
        <v>25</v>
      </c>
      <c r="D37" s="136"/>
      <c r="E37" s="136"/>
      <c r="F37" s="137"/>
      <c r="G37" s="138">
        <f>G35-G36</f>
        <v>274.41000000000008</v>
      </c>
      <c r="H37" s="139"/>
      <c r="I37" s="139"/>
      <c r="J37" s="139">
        <f>G37*1.18</f>
        <v>323.80380000000008</v>
      </c>
      <c r="K37" s="139"/>
      <c r="L37" s="140"/>
      <c r="M37" s="22"/>
      <c r="N37" s="22"/>
    </row>
    <row r="38" spans="1:14" ht="15" thickBot="1">
      <c r="A38" s="19"/>
      <c r="B38" s="20"/>
      <c r="C38" s="21"/>
      <c r="D38" s="21"/>
      <c r="E38" s="28"/>
      <c r="F38" s="28"/>
      <c r="G38" s="28"/>
      <c r="H38" s="28"/>
      <c r="I38" s="28"/>
      <c r="J38" s="28"/>
      <c r="K38" s="22"/>
      <c r="L38" s="22"/>
      <c r="N38" s="22"/>
    </row>
    <row r="39" spans="1:14" ht="15" thickBot="1">
      <c r="A39" s="19"/>
      <c r="B39" s="20"/>
      <c r="C39" s="151" t="s">
        <v>25</v>
      </c>
      <c r="D39" s="152"/>
      <c r="E39" s="152"/>
      <c r="F39" s="153"/>
      <c r="G39" s="154">
        <f>G37/G35</f>
        <v>0.2665701712631508</v>
      </c>
      <c r="H39" s="155"/>
      <c r="I39" s="155"/>
      <c r="J39" s="155"/>
      <c r="K39" s="155"/>
      <c r="L39" s="156"/>
      <c r="M39" s="22"/>
      <c r="N39" s="22"/>
    </row>
    <row r="40" spans="1:14">
      <c r="A40" s="21"/>
      <c r="B40" s="21"/>
      <c r="C40" s="21"/>
      <c r="D40" s="21"/>
      <c r="E40" s="28"/>
      <c r="F40" s="28"/>
      <c r="G40" s="28"/>
      <c r="H40" s="28"/>
      <c r="I40" s="28"/>
      <c r="J40" s="28"/>
      <c r="K40" s="22"/>
      <c r="L40" s="22"/>
      <c r="M40" s="22"/>
      <c r="N40" s="22"/>
    </row>
    <row r="44" spans="1:14">
      <c r="I44" s="28"/>
      <c r="J44" s="141"/>
      <c r="K44" s="142"/>
      <c r="L44" s="142"/>
      <c r="M44" s="142"/>
      <c r="N44" s="143"/>
    </row>
    <row r="45" spans="1:14">
      <c r="I45" s="28"/>
      <c r="J45" s="144"/>
      <c r="K45" s="145"/>
      <c r="L45" s="145"/>
      <c r="M45" s="145"/>
      <c r="N45" s="146"/>
    </row>
    <row r="46" spans="1:14">
      <c r="I46" s="28"/>
      <c r="J46" s="144"/>
      <c r="K46" s="145"/>
      <c r="L46" s="145"/>
      <c r="M46" s="145"/>
      <c r="N46" s="146"/>
    </row>
    <row r="47" spans="1:14">
      <c r="I47" s="28"/>
      <c r="J47" s="147"/>
      <c r="K47" s="148"/>
      <c r="L47" s="148"/>
      <c r="M47" s="148"/>
      <c r="N47" s="149"/>
    </row>
    <row r="48" spans="1:14">
      <c r="I48" s="28"/>
      <c r="J48" s="150" t="s">
        <v>26</v>
      </c>
      <c r="K48" s="150"/>
      <c r="L48" s="150"/>
      <c r="M48" s="150"/>
      <c r="N48" s="150"/>
    </row>
    <row r="49" spans="9:14">
      <c r="I49" s="28"/>
      <c r="J49" s="150" t="s">
        <v>27</v>
      </c>
      <c r="K49" s="150"/>
      <c r="L49" s="150"/>
      <c r="M49" s="150"/>
      <c r="N49" s="150"/>
    </row>
  </sheetData>
  <mergeCells count="52">
    <mergeCell ref="J44:N47"/>
    <mergeCell ref="J48:N48"/>
    <mergeCell ref="J49:N49"/>
    <mergeCell ref="C39:F39"/>
    <mergeCell ref="G39:L39"/>
    <mergeCell ref="C36:F36"/>
    <mergeCell ref="G36:I36"/>
    <mergeCell ref="J36:L36"/>
    <mergeCell ref="C37:F37"/>
    <mergeCell ref="G37:I37"/>
    <mergeCell ref="J37:L37"/>
    <mergeCell ref="C35:F35"/>
    <mergeCell ref="G35:I35"/>
    <mergeCell ref="J35:L35"/>
    <mergeCell ref="C25:F25"/>
    <mergeCell ref="G25:L25"/>
    <mergeCell ref="D27:F27"/>
    <mergeCell ref="G27:K27"/>
    <mergeCell ref="D28:F28"/>
    <mergeCell ref="G28:K28"/>
    <mergeCell ref="D29:F29"/>
    <mergeCell ref="G29:K29"/>
    <mergeCell ref="C32:E32"/>
    <mergeCell ref="G34:I34"/>
    <mergeCell ref="J34:L34"/>
    <mergeCell ref="C24:F24"/>
    <mergeCell ref="G24:L24"/>
    <mergeCell ref="C13:F14"/>
    <mergeCell ref="G13:L14"/>
    <mergeCell ref="C15:F15"/>
    <mergeCell ref="G15:L15"/>
    <mergeCell ref="D16:K16"/>
    <mergeCell ref="D17:F17"/>
    <mergeCell ref="G17:K17"/>
    <mergeCell ref="D18:F18"/>
    <mergeCell ref="G18:K18"/>
    <mergeCell ref="D19:F19"/>
    <mergeCell ref="G19:K19"/>
    <mergeCell ref="C22:E22"/>
    <mergeCell ref="A5:D5"/>
    <mergeCell ref="E5:K5"/>
    <mergeCell ref="A1:C3"/>
    <mergeCell ref="D1:K3"/>
    <mergeCell ref="L1:M1"/>
    <mergeCell ref="L2:M2"/>
    <mergeCell ref="L3:M3"/>
    <mergeCell ref="A7:D7"/>
    <mergeCell ref="E7:K7"/>
    <mergeCell ref="A8:N8"/>
    <mergeCell ref="C10:E10"/>
    <mergeCell ref="C12:F12"/>
    <mergeCell ref="G12:L12"/>
  </mergeCells>
  <pageMargins left="1.0899999999999999" right="0.7" top="0.75" bottom="0.75" header="0.3" footer="0.3"/>
  <pageSetup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SUSTENTO</vt:lpstr>
      <vt:lpstr>SUSTENTO!Print_Area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Cabanillas Hoyos</dc:creator>
  <cp:lastModifiedBy>ALUMNO - MILAGROS CABANILLAS HOYOS</cp:lastModifiedBy>
  <cp:lastPrinted>2026-07-09T23:32:15Z</cp:lastPrinted>
  <dcterms:created xsi:type="dcterms:W3CDTF">2026-03-23T16:37:22Z</dcterms:created>
  <dcterms:modified xsi:type="dcterms:W3CDTF">2026-07-27T05:13:28Z</dcterms:modified>
</cp:coreProperties>
</file>